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730" windowHeight="13530" activeTab="1"/>
  </bookViews>
  <sheets>
    <sheet name="Characters" sheetId="1" r:id="rId1"/>
    <sheet name="Char_baseline" sheetId="2" r:id="rId2"/>
  </sheets>
  <definedNames>
    <definedName name="_xlnm._FilterDatabase" localSheetId="0" hidden="1">Characters!$A$1:$BP$219</definedName>
  </definedNames>
  <calcPr calcId="144525"/>
</workbook>
</file>

<file path=xl/comments1.xml><?xml version="1.0" encoding="utf-8"?>
<comments xmlns="http://schemas.openxmlformats.org/spreadsheetml/2006/main">
  <authors>
    <author>darrmirr</author>
  </authors>
  <commentList>
    <comment ref="B1" authorId="0">
      <text>
        <r>
          <rPr>
            <b/>
            <sz val="9"/>
            <rFont val="Arial"/>
            <charset val="0"/>
          </rPr>
          <t xml:space="preserve">darrmirr:
</t>
        </r>
        <r>
          <rPr>
            <sz val="9"/>
            <rFont val="Arial"/>
            <charset val="0"/>
          </rPr>
          <t>EN: max level
RU: масимальный уровень юнита</t>
        </r>
      </text>
    </comment>
    <comment ref="C1" authorId="0">
      <text>
        <r>
          <rPr>
            <b/>
            <sz val="9"/>
            <rFont val="Arial"/>
            <charset val="0"/>
          </rPr>
          <t xml:space="preserve">darrmirr:
</t>
        </r>
        <r>
          <rPr>
            <sz val="9"/>
            <rFont val="Arial"/>
            <charset val="0"/>
          </rPr>
          <t>EN: max level
RU: масимальный уровень юнита</t>
        </r>
      </text>
    </comment>
    <comment ref="D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levels amount is needed to up to new unit ID
RU: количество уровней необходимых для апгрейда юнита до нового ID</t>
        </r>
      </text>
    </comment>
    <comment ref="E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fraction side of unit belongs to
RU: принадлежность юнита к игровой расе</t>
        </r>
      </text>
    </comment>
    <comment ref="F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subclass of unit’s fraction side
RU: подкласс внутри расы юнита</t>
        </r>
      </text>
    </comment>
    <comment ref="G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 class
RU: класс юнита</t>
        </r>
      </text>
    </comment>
    <comment ref="H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attack type
RU: тип атаки юнита</t>
        </r>
      </text>
    </comment>
    <comment ref="I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 strength
RU: параметр сила</t>
        </r>
      </text>
    </comment>
    <comment ref="J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 speed
RU: параметр скорость</t>
        </r>
      </text>
    </comment>
    <comment ref="K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 dexterety
RU: параметр проворство</t>
        </r>
      </text>
    </comment>
    <comment ref="L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 agility
RU: параметр ловкость</t>
        </r>
      </text>
    </comment>
    <comment ref="M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 endurance
RU: параметр выносливость</t>
        </r>
      </text>
    </comment>
    <comment ref="N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unit’s movement points on battlefield
RU: дальность хода юнита в гексах на поле боя</t>
        </r>
      </text>
    </comment>
    <comment ref="O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unit’s movement point of world map
RU: дальность хода юнита в гексах на стратегической карте</t>
        </r>
      </text>
    </comment>
    <comment ref="P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 attack range
RU: дальность атаки юнита в гексах</t>
        </r>
      </text>
    </comment>
    <comment ref="Q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unit’s attack zone radius. Work on atck_zone = 1
RU: радиус в гексах удара юнита по площади на поле боя
</t>
        </r>
      </text>
    </comment>
    <comment ref="R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attack all units on battlefield
RU: атаковать всех юнитов на поле боя</t>
        </r>
      </text>
    </comment>
    <comment ref="S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grand abillity to zone attack with zone radius
RU: даёт способность юниту выполнять удар по площади на поле боя</t>
        </r>
      </text>
    </comment>
    <comment ref="U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unit’s interception points
RU: очки перехвата юнита в бою</t>
        </r>
      </text>
    </comment>
    <comment ref="V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set reserve points to leader stats.
RU: задаёт количество юнитов, которых лидер может взять в резерв.</t>
        </r>
      </text>
    </comment>
    <comment ref="AH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Disable unit rotation on battlefield during attack
RU: ?ь</t>
        </r>
      </text>
    </comment>
    <comment ref="AR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Leadership points to pay for getting unit into leader’s party
RU: Количество очков лидерства, определяющая количество юнитов, которых лидер может взять к себе в отряд</t>
        </r>
      </text>
    </comment>
    <comment ref="AS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amount of leadership requires from leader in order to get unit to party
RU: Стоимость лидерства для лидера, чтобы взять юнита к себе в отряд</t>
        </r>
      </text>
    </comment>
    <comment ref="AT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?
RU: ?</t>
        </r>
      </text>
    </comment>
    <comment ref="AU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unit’s hire cost
RU: стоимость найма юнита (измеряется в единицах игрового золота)</t>
        </r>
      </text>
    </comment>
    <comment ref="AV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 skill grid file name
RU: имя файл skill grid для юнита</t>
        </r>
      </text>
    </comment>
    <comment ref="AW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?
RU: ?</t>
        </r>
      </text>
    </comment>
    <comment ref="AX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action point - attack count per turn on battlefield
RU: action point - очки действия, количество атак юнита за один ход в бою</t>
        </r>
      </text>
    </comment>
    <comment ref="AY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energy point on battlefield (ability to use runes)
RU: количество очков энергии в бою (влияет на количество использования рун в бою)</t>
        </r>
      </text>
    </comment>
    <comment ref="AZ1" authorId="0">
      <text>
        <r>
          <rPr>
            <sz val="9"/>
            <rFont val="Arial"/>
            <charset val="0"/>
          </rPr>
          <t>darrmirr:
EN: unit’s damage modifier depends on strength
RU: модификатор урона юнита от параметра сила</t>
        </r>
      </text>
    </comment>
    <comment ref="BA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unit’s damage modifier depends on agility
RU: модификатор урона юнита от параметра ловкость</t>
        </r>
      </text>
    </comment>
    <comment ref="BB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unit’s crit damage probability modifier depends on dexterety
RU: модификатор шанса критического урона юнита от параметра проворство</t>
        </r>
      </text>
    </comment>
    <comment ref="BC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unit’s crit damage probability modifier depends on vitality
RU: модификатор шанса критического урона юнита от параметра выносливость</t>
        </r>
      </text>
    </comment>
    <comment ref="BQ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EN: End of configurable parameters and start calculable parameters
</t>
        </r>
      </text>
    </comment>
    <comment ref="BR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str*(dmg_str_mod/100)+agi*(dmg_agi_mod/100)</t>
        </r>
      </text>
    </comment>
    <comment ref="BS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damage*ap</t>
        </r>
      </text>
    </comment>
    <comment ref="BT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str*(hp_str_mod/100)+vit*(hp_vit_mod/100)</t>
        </r>
      </text>
    </comment>
    <comment ref="BU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agi*(flee_agi_mod/100)+spd*(flee_spd_mod/100)</t>
        </r>
      </text>
    </comment>
    <comment ref="BV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dex*(ini_dex_mod/100)+spd*(ini_spd_mod/100)+8</t>
        </r>
      </text>
    </comment>
    <comment ref="BW1" authorId="0">
      <text>
        <r>
          <rPr>
            <b/>
            <sz val="9"/>
            <rFont val="Arial"/>
            <charset val="0"/>
          </rPr>
          <t>darrmirr:</t>
        </r>
        <r>
          <rPr>
            <sz val="9"/>
            <rFont val="Arial"/>
            <charset val="0"/>
          </rPr>
          <t xml:space="preserve">
dex*(crit_dex_mod/100)+vit*(crit_vit_mod/100)</t>
        </r>
      </text>
    </comment>
  </commentList>
</comments>
</file>

<file path=xl/sharedStrings.xml><?xml version="1.0" encoding="utf-8"?>
<sst xmlns="http://schemas.openxmlformats.org/spreadsheetml/2006/main" count="394" uniqueCount="303">
  <si>
    <t>ID</t>
  </si>
  <si>
    <t>level</t>
  </si>
  <si>
    <t>level_cap</t>
  </si>
  <si>
    <t>levels_to_up</t>
  </si>
  <si>
    <t>side</t>
  </si>
  <si>
    <t>unit_side</t>
  </si>
  <si>
    <t>unit_class</t>
  </si>
  <si>
    <t>attack_type</t>
  </si>
  <si>
    <t>str</t>
  </si>
  <si>
    <t>spd</t>
  </si>
  <si>
    <t>dex</t>
  </si>
  <si>
    <t>agi</t>
  </si>
  <si>
    <t>vit</t>
  </si>
  <si>
    <t>mov</t>
  </si>
  <si>
    <t>movwm</t>
  </si>
  <si>
    <t>atck_range</t>
  </si>
  <si>
    <t>zone_radius</t>
  </si>
  <si>
    <t>atck_all</t>
  </si>
  <si>
    <t>atck_zone</t>
  </si>
  <si>
    <t>Control</t>
  </si>
  <si>
    <t>Cover</t>
  </si>
  <si>
    <t>reserve</t>
  </si>
  <si>
    <t>res_pierce</t>
  </si>
  <si>
    <t>res_blunt</t>
  </si>
  <si>
    <t>res_fire</t>
  </si>
  <si>
    <t>res_water</t>
  </si>
  <si>
    <t>res_air</t>
  </si>
  <si>
    <t>res_earth</t>
  </si>
  <si>
    <t>res_death</t>
  </si>
  <si>
    <t>res_mind</t>
  </si>
  <si>
    <t>no_retreat</t>
  </si>
  <si>
    <t>vampire</t>
  </si>
  <si>
    <t>boss_tag</t>
  </si>
  <si>
    <t>no_rotate</t>
  </si>
  <si>
    <t>keycharacter</t>
  </si>
  <si>
    <t>ship</t>
  </si>
  <si>
    <t>Healer</t>
  </si>
  <si>
    <t>Landguardian</t>
  </si>
  <si>
    <t>skill</t>
  </si>
  <si>
    <t>param0</t>
  </si>
  <si>
    <t>param1</t>
  </si>
  <si>
    <t>param2</t>
  </si>
  <si>
    <t>raceleader</t>
  </si>
  <si>
    <t>Leadership</t>
  </si>
  <si>
    <t>leadership_cost</t>
  </si>
  <si>
    <t>exp_base</t>
  </si>
  <si>
    <t>cost</t>
  </si>
  <si>
    <t>skill_grid</t>
  </si>
  <si>
    <t>viewradius</t>
  </si>
  <si>
    <t>ap</t>
  </si>
  <si>
    <t>up</t>
  </si>
  <si>
    <t>dmg_str_mod</t>
  </si>
  <si>
    <t>dmg_agi_mod</t>
  </si>
  <si>
    <t>crit_dex_mod</t>
  </si>
  <si>
    <t>crit_vit_mod</t>
  </si>
  <si>
    <t>flee_agi_mod</t>
  </si>
  <si>
    <t>flee_spd_mod</t>
  </si>
  <si>
    <t>hp_vit_mod</t>
  </si>
  <si>
    <t>hp_str_mod</t>
  </si>
  <si>
    <t>ini_spd_mod</t>
  </si>
  <si>
    <t>ini_dex_mod</t>
  </si>
  <si>
    <t>mov_mod</t>
  </si>
  <si>
    <t>movwm_mod</t>
  </si>
  <si>
    <t>cover_mod</t>
  </si>
  <si>
    <t>viewradius_mod</t>
  </si>
  <si>
    <t>Regen_Mod</t>
  </si>
  <si>
    <t>Discount_Mod</t>
  </si>
  <si>
    <t>Bonusexp_Mod</t>
  </si>
  <si>
    <t>damage</t>
  </si>
  <si>
    <t>damage_ap</t>
  </si>
  <si>
    <t>hp</t>
  </si>
  <si>
    <t>evasion</t>
  </si>
  <si>
    <t>initiative</t>
  </si>
  <si>
    <t>accuracy</t>
  </si>
  <si>
    <t>string</t>
  </si>
  <si>
    <t>int</t>
  </si>
  <si>
    <t>custom</t>
  </si>
  <si>
    <t>bool</t>
  </si>
  <si>
    <t>no_tag</t>
  </si>
  <si>
    <t>neutrals_goblin</t>
  </si>
  <si>
    <t>neutrals_imp</t>
  </si>
  <si>
    <t>neutrals_peasant</t>
  </si>
  <si>
    <t>neutrals_wolfgrey</t>
  </si>
  <si>
    <t>story_amina</t>
  </si>
  <si>
    <t>story_erion</t>
  </si>
  <si>
    <t>story_haarhus-demon</t>
  </si>
  <si>
    <t>story_lambert</t>
  </si>
  <si>
    <t>story_lemuan</t>
  </si>
  <si>
    <t>story_salaar</t>
  </si>
  <si>
    <t>story_haarhus-elf</t>
  </si>
  <si>
    <t>story_inoel</t>
  </si>
  <si>
    <t>undead_Wolf</t>
  </si>
  <si>
    <t>neutrals_thug</t>
  </si>
  <si>
    <t>neutrals_goblinarcher</t>
  </si>
  <si>
    <t>neutrals_wolfsnow</t>
  </si>
  <si>
    <t>neutrals_zombie</t>
  </si>
  <si>
    <t>neutrals_airelemental</t>
  </si>
  <si>
    <t>neutrals_fatimp</t>
  </si>
  <si>
    <t>neutrals_manatarms</t>
  </si>
  <si>
    <t>neutrals_cityguard</t>
  </si>
  <si>
    <t>neutrals_dwarf</t>
  </si>
  <si>
    <t>neutrals_masterthug</t>
  </si>
  <si>
    <t>neutrals_death</t>
  </si>
  <si>
    <t>neutrals_orc</t>
  </si>
  <si>
    <t>story_hashim</t>
  </si>
  <si>
    <t>neutrals_goblinslinger</t>
  </si>
  <si>
    <t>neutrals_giantblackspider</t>
  </si>
  <si>
    <t>neutrals_spearman</t>
  </si>
  <si>
    <t>neutrals_mermaid</t>
  </si>
  <si>
    <t>neutrals_polarbear</t>
  </si>
  <si>
    <t>neutrals_wolf</t>
  </si>
  <si>
    <t>neutrals_darkservant</t>
  </si>
  <si>
    <t>neutrals_orcking</t>
  </si>
  <si>
    <t>neutrals_necromancer</t>
  </si>
  <si>
    <t>neutrals_primitivegiant</t>
  </si>
  <si>
    <t>neutrals_goblinthrower</t>
  </si>
  <si>
    <t>story_sebastian</t>
  </si>
  <si>
    <t>neutrals_blacknaga</t>
  </si>
  <si>
    <t>neutrals_werewolf</t>
  </si>
  <si>
    <t>story_johann</t>
  </si>
  <si>
    <t>neutrals_lichqueen</t>
  </si>
  <si>
    <t>story_ferre</t>
  </si>
  <si>
    <t>neutrals_kingsguard</t>
  </si>
  <si>
    <t>neutrals_nosferatu</t>
  </si>
  <si>
    <t>neutrals_kraken</t>
  </si>
  <si>
    <t>neutrals_troll</t>
  </si>
  <si>
    <t>neutrals_dragongreen</t>
  </si>
  <si>
    <t>story_druid</t>
  </si>
  <si>
    <t>neutrals_dragonred</t>
  </si>
  <si>
    <t>neutrals_dragonbone</t>
  </si>
  <si>
    <t>neutrals_dragonblack</t>
  </si>
  <si>
    <t>story_undigillash</t>
  </si>
  <si>
    <t>story_izerill</t>
  </si>
  <si>
    <t>story_emperor_ferre</t>
  </si>
  <si>
    <t>story_Berthrezen</t>
  </si>
  <si>
    <t>demons_fiend</t>
  </si>
  <si>
    <t>demons_possessed</t>
  </si>
  <si>
    <t>demons_berserker</t>
  </si>
  <si>
    <t>demons_antipaladin</t>
  </si>
  <si>
    <t>demons_infernalknight</t>
  </si>
  <si>
    <t>demons_gargoyle</t>
  </si>
  <si>
    <t>demons_marblegargoyle</t>
  </si>
  <si>
    <t>demons_onyxgargoyle</t>
  </si>
  <si>
    <t>demons_cultist</t>
  </si>
  <si>
    <t>demons_witch</t>
  </si>
  <si>
    <t>demons_sorcerer</t>
  </si>
  <si>
    <t>demons_doppelganger</t>
  </si>
  <si>
    <t>demons_demonologist</t>
  </si>
  <si>
    <t>demons_hag</t>
  </si>
  <si>
    <t>demons_incubus</t>
  </si>
  <si>
    <t>demons_pandemoneus</t>
  </si>
  <si>
    <t>demons_succubus</t>
  </si>
  <si>
    <t>demons_modeus</t>
  </si>
  <si>
    <t>demons_devil</t>
  </si>
  <si>
    <t>demons_demon</t>
  </si>
  <si>
    <t>demons_moloch</t>
  </si>
  <si>
    <t>demons_beast</t>
  </si>
  <si>
    <t>demons_demonlord</t>
  </si>
  <si>
    <t>demons_tiamath</t>
  </si>
  <si>
    <t>demons_overlord</t>
  </si>
  <si>
    <t>demons_abyssaldevil</t>
  </si>
  <si>
    <t>demons_leader-archdevil</t>
  </si>
  <si>
    <t>demons_leader-counselor</t>
  </si>
  <si>
    <t>demons_leader-duke</t>
  </si>
  <si>
    <t>demons_leader-thief</t>
  </si>
  <si>
    <t>demons_ashkael</t>
  </si>
  <si>
    <t>demons_rod-1</t>
  </si>
  <si>
    <t>demons_rod-2</t>
  </si>
  <si>
    <t>demons_rod-3</t>
  </si>
  <si>
    <t>demons_hellhound</t>
  </si>
  <si>
    <t>demons_beliarh</t>
  </si>
  <si>
    <t>demons_avenger</t>
  </si>
  <si>
    <t>elves_centaurlancer</t>
  </si>
  <si>
    <t>elves_centaurcharger</t>
  </si>
  <si>
    <t>elves_centaurstrider</t>
  </si>
  <si>
    <t>elves_centaursavage</t>
  </si>
  <si>
    <t>elves_scout</t>
  </si>
  <si>
    <t>elves_hunter</t>
  </si>
  <si>
    <t>elves_watchman</t>
  </si>
  <si>
    <t>elves_bandit</t>
  </si>
  <si>
    <t>elves_sentry</t>
  </si>
  <si>
    <t>elves_stinger</t>
  </si>
  <si>
    <t>elves_warden</t>
  </si>
  <si>
    <t>elves_brigand</t>
  </si>
  <si>
    <t>elves_marauder</t>
  </si>
  <si>
    <t>elves_griffin</t>
  </si>
  <si>
    <t>elves_skylord</t>
  </si>
  <si>
    <t>elves_adept</t>
  </si>
  <si>
    <t>elves_channeler</t>
  </si>
  <si>
    <t>elves_theurgist</t>
  </si>
  <si>
    <t>elves_archon</t>
  </si>
  <si>
    <t>elves_spiritess</t>
  </si>
  <si>
    <t>elves_oracle</t>
  </si>
  <si>
    <t>elves_grovemaiden</t>
  </si>
  <si>
    <t>elves_sundancer</t>
  </si>
  <si>
    <t>elves_sylph</t>
  </si>
  <si>
    <t>elves_leader-dryad</t>
  </si>
  <si>
    <t>elves_leader-forestliege</t>
  </si>
  <si>
    <t>elves_leader-guardian</t>
  </si>
  <si>
    <t>elves_leader-thief</t>
  </si>
  <si>
    <t>elves_illumielle</t>
  </si>
  <si>
    <t>elves_rod-1</t>
  </si>
  <si>
    <t>elves_rod-2</t>
  </si>
  <si>
    <t>elves_rod-3</t>
  </si>
  <si>
    <t>elves_earthelemental</t>
  </si>
  <si>
    <t>elves_ent</t>
  </si>
  <si>
    <t>elves_unicorn</t>
  </si>
  <si>
    <t>elves_verdant</t>
  </si>
  <si>
    <t>empire_squire</t>
  </si>
  <si>
    <t>empire_knight</t>
  </si>
  <si>
    <t>empire_witchhunter</t>
  </si>
  <si>
    <t>empire_imperialknight</t>
  </si>
  <si>
    <t>empire_inquisitor</t>
  </si>
  <si>
    <t>empire_angel</t>
  </si>
  <si>
    <t>empire_grandinquisitor</t>
  </si>
  <si>
    <t>empire_paladin</t>
  </si>
  <si>
    <t>empire_defenderoffaith</t>
  </si>
  <si>
    <t>empire_holyavenger</t>
  </si>
  <si>
    <t>empire_archer</t>
  </si>
  <si>
    <t>empire_marksman</t>
  </si>
  <si>
    <t>empire_imperialassassin</t>
  </si>
  <si>
    <t>empire_titan</t>
  </si>
  <si>
    <t>empire_apprentice</t>
  </si>
  <si>
    <t>empire_mage</t>
  </si>
  <si>
    <t>empire_elementalist</t>
  </si>
  <si>
    <t>empire_wizard</t>
  </si>
  <si>
    <t>empire_whitewizard</t>
  </si>
  <si>
    <t>empire_acolyte</t>
  </si>
  <si>
    <t>empire_priestess</t>
  </si>
  <si>
    <t>empire_cleric</t>
  </si>
  <si>
    <t>empire_matriarch</t>
  </si>
  <si>
    <t>empire_imperialpriestess</t>
  </si>
  <si>
    <t>empire_prophetess</t>
  </si>
  <si>
    <t>empire_hierophant</t>
  </si>
  <si>
    <t>empire_leader-archmage</t>
  </si>
  <si>
    <t>empire_leader-ranger</t>
  </si>
  <si>
    <t>empire_leader-thief</t>
  </si>
  <si>
    <t>empire_leader-warrior</t>
  </si>
  <si>
    <t>empire_myzrael_undead</t>
  </si>
  <si>
    <t>empire_myzrael</t>
  </si>
  <si>
    <t>empire_rod-1</t>
  </si>
  <si>
    <t>empire_rod-2</t>
  </si>
  <si>
    <t>empire_rod-3</t>
  </si>
  <si>
    <t>empire_livingarmor</t>
  </si>
  <si>
    <t>empire_golem</t>
  </si>
  <si>
    <t>undead_Fighter</t>
  </si>
  <si>
    <t>undead_Zombie</t>
  </si>
  <si>
    <t>undead_templar</t>
  </si>
  <si>
    <t>undead_SkeletonWarrior</t>
  </si>
  <si>
    <t>undead_DarkLord</t>
  </si>
  <si>
    <t>undead_SkeletonChampion</t>
  </si>
  <si>
    <t>undead_PhantomWarrior</t>
  </si>
  <si>
    <t>undead_Ghost</t>
  </si>
  <si>
    <t>undead_Specter</t>
  </si>
  <si>
    <t>undead_Shade</t>
  </si>
  <si>
    <t>undead_Initiate</t>
  </si>
  <si>
    <t>undead_Warlock</t>
  </si>
  <si>
    <t>undead_Necromancer</t>
  </si>
  <si>
    <t>undead_Wraith</t>
  </si>
  <si>
    <t>undead_Vampire</t>
  </si>
  <si>
    <t>undead_Lich</t>
  </si>
  <si>
    <t>undead_Wight</t>
  </si>
  <si>
    <t>undead_Death</t>
  </si>
  <si>
    <t>undead_ElderVampire</t>
  </si>
  <si>
    <t>undead_ArchLich</t>
  </si>
  <si>
    <t>undead_Werewolf</t>
  </si>
  <si>
    <t>undead_wyvern</t>
  </si>
  <si>
    <t>undead_Doomdrake</t>
  </si>
  <si>
    <t>undead_Deathdragon</t>
  </si>
  <si>
    <t>undead_Dracolich</t>
  </si>
  <si>
    <t>undead_Dreadwyrm</t>
  </si>
  <si>
    <t>undead_leader-deathknight</t>
  </si>
  <si>
    <t>undead_leader-lichqueen</t>
  </si>
  <si>
    <t>undead_leader-nosferatu</t>
  </si>
  <si>
    <t>undead_leader-thief</t>
  </si>
  <si>
    <t>undead_Ashgan</t>
  </si>
  <si>
    <t>undead_rod-1</t>
  </si>
  <si>
    <t>undead_rod-2</t>
  </si>
  <si>
    <t>undead_rod-3</t>
  </si>
  <si>
    <t>undead_Skeleton</t>
  </si>
  <si>
    <t>undead_EvilEnt</t>
  </si>
  <si>
    <t>undead_Nightmare</t>
  </si>
  <si>
    <t>undead_tanatos</t>
  </si>
  <si>
    <t>neutrals_cyclop</t>
  </si>
  <si>
    <t>neutrals_goblinhammerer</t>
  </si>
  <si>
    <t>neutrals_craken</t>
  </si>
  <si>
    <t>neutrals_watersnake</t>
  </si>
  <si>
    <t>neutrals_brownbear</t>
  </si>
  <si>
    <t>neutrals_wildboar</t>
  </si>
  <si>
    <t>neutrals_giantspider</t>
  </si>
  <si>
    <t>neutrals_orcmage</t>
  </si>
  <si>
    <t>neutrals_goblinmage</t>
  </si>
  <si>
    <t>neutrals_hydra_female</t>
  </si>
  <si>
    <t>neutrals_hydra_male</t>
  </si>
  <si>
    <t>neutrals_imp_morph</t>
  </si>
  <si>
    <t>neutrals_fatimp_morph</t>
  </si>
  <si>
    <t>class</t>
  </si>
  <si>
    <t>leadership cost</t>
  </si>
  <si>
    <t>damage avg</t>
  </si>
  <si>
    <t>range</t>
  </si>
  <si>
    <t>caster</t>
  </si>
  <si>
    <t>melee</t>
  </si>
  <si>
    <t>rogue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</si>
</sst>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176" formatCode="0.00_ "/>
    <numFmt numFmtId="43" formatCode="_-* #,##0.00_-;\-* #,##0.00_-;_-* &quot;-&quot;??_-;_-@_-"/>
    <numFmt numFmtId="177" formatCode="_-* #,##0.00\ &quot;₽&quot;_-;\-* #,##0.00\ &quot;₽&quot;_-;_-* \-??\ &quot;₽&quot;_-;_-@_-"/>
    <numFmt numFmtId="178" formatCode="_-* #,##0\ &quot;₽&quot;_-;\-* #,##0\ &quot;₽&quot;_-;_-* \-\ &quot;₽&quot;_-;_-@_-"/>
  </numFmts>
  <fonts count="32">
    <font>
      <sz val="11"/>
      <color theme="1"/>
      <name val="Calibri"/>
      <charset val="134"/>
      <scheme val="minor"/>
    </font>
    <font>
      <b/>
      <sz val="10"/>
      <name val="Arial"/>
      <charset val="204"/>
    </font>
    <font>
      <b/>
      <sz val="10"/>
      <name val="Arial Cyr"/>
      <charset val="204"/>
    </font>
    <font>
      <sz val="10"/>
      <color indexed="23"/>
      <name val="Arial"/>
      <charset val="204"/>
    </font>
    <font>
      <sz val="10"/>
      <color indexed="23"/>
      <name val="Arial Cyr"/>
      <charset val="204"/>
    </font>
    <font>
      <sz val="10"/>
      <name val="Arial"/>
      <charset val="204"/>
    </font>
    <font>
      <sz val="10"/>
      <color theme="1"/>
      <name val="Calibri"/>
      <charset val="204"/>
      <scheme val="minor"/>
    </font>
    <font>
      <sz val="10"/>
      <name val="Arial Cyr"/>
      <charset val="204"/>
    </font>
    <font>
      <sz val="11"/>
      <color indexed="23"/>
      <name val="Calibri"/>
      <charset val="204"/>
    </font>
    <font>
      <b/>
      <sz val="10"/>
      <color indexed="8"/>
      <name val="Arial"/>
      <charset val="204"/>
    </font>
    <font>
      <sz val="10"/>
      <color indexed="10"/>
      <name val="Arial"/>
      <charset val="204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9"/>
      <name val="Arial"/>
      <charset val="0"/>
    </font>
    <font>
      <b/>
      <sz val="9"/>
      <name val="Arial"/>
      <charset val="0"/>
    </font>
  </fonts>
  <fills count="48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theme="0" tint="-0.25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theme="0" tint="-0.249977111117893"/>
        <bgColor indexed="22"/>
      </patternFill>
    </fill>
    <fill>
      <patternFill patternType="solid">
        <fgColor indexed="22"/>
        <bgColor indexed="55"/>
      </patternFill>
    </fill>
    <fill>
      <patternFill patternType="solid">
        <fgColor theme="0" tint="-0.25"/>
        <bgColor indexed="23"/>
      </patternFill>
    </fill>
    <fill>
      <patternFill patternType="solid">
        <fgColor indexed="51"/>
        <bgColor indexed="13"/>
      </patternFill>
    </fill>
    <fill>
      <patternFill patternType="solid">
        <fgColor indexed="47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2"/>
        <bgColor indexed="27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0" fontId="7" fillId="0" borderId="0"/>
    <xf numFmtId="0" fontId="11" fillId="26" borderId="0" applyNumberFormat="0" applyBorder="0" applyAlignment="0" applyProtection="0">
      <alignment vertical="center"/>
    </xf>
    <xf numFmtId="0" fontId="16" fillId="47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24" fillId="40" borderId="7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9" fillId="25" borderId="3" applyNumberFormat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5" fillId="41" borderId="7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9" borderId="6" applyNumberFormat="0" applyFon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5" fillId="0" borderId="0"/>
    <xf numFmtId="0" fontId="12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7" fillId="41" borderId="9" applyNumberFormat="0" applyAlignment="0" applyProtection="0">
      <alignment vertical="center"/>
    </xf>
  </cellStyleXfs>
  <cellXfs count="3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1" fillId="3" borderId="0" xfId="47" applyFont="1" applyFill="1" applyBorder="1" applyAlignment="1">
      <alignment horizontal="center"/>
    </xf>
    <xf numFmtId="0" fontId="2" fillId="3" borderId="0" xfId="47" applyFont="1" applyFill="1" applyBorder="1" applyAlignment="1">
      <alignment horizontal="center"/>
    </xf>
    <xf numFmtId="0" fontId="2" fillId="4" borderId="0" xfId="47" applyFont="1" applyFill="1" applyBorder="1" applyAlignment="1">
      <alignment horizontal="center"/>
    </xf>
    <xf numFmtId="0" fontId="3" fillId="0" borderId="0" xfId="47" applyFont="1" applyBorder="1" applyAlignment="1">
      <alignment horizontal="center"/>
    </xf>
    <xf numFmtId="0" fontId="4" fillId="0" borderId="0" xfId="47" applyFont="1" applyBorder="1" applyAlignment="1">
      <alignment horizontal="center"/>
    </xf>
    <xf numFmtId="0" fontId="5" fillId="0" borderId="1" xfId="47" applyFont="1" applyFill="1" applyBorder="1" applyAlignment="1"/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left"/>
    </xf>
    <xf numFmtId="0" fontId="5" fillId="0" borderId="1" xfId="47" applyFont="1" applyFill="1" applyBorder="1" applyAlignment="1">
      <alignment wrapText="1"/>
    </xf>
    <xf numFmtId="0" fontId="6" fillId="5" borderId="1" xfId="0" applyFont="1" applyFill="1" applyBorder="1" applyAlignment="1"/>
    <xf numFmtId="0" fontId="7" fillId="0" borderId="1" xfId="47" applyFont="1" applyFill="1" applyBorder="1" applyAlignment="1"/>
    <xf numFmtId="0" fontId="6" fillId="0" borderId="1" xfId="0" applyFont="1" applyFill="1" applyBorder="1" applyAlignment="1"/>
    <xf numFmtId="0" fontId="5" fillId="6" borderId="1" xfId="47" applyFont="1" applyFill="1" applyBorder="1" applyAlignment="1"/>
    <xf numFmtId="0" fontId="5" fillId="7" borderId="1" xfId="47" applyFont="1" applyFill="1" applyBorder="1" applyAlignment="1"/>
    <xf numFmtId="0" fontId="1" fillId="8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1" fillId="9" borderId="0" xfId="1" applyFont="1" applyFill="1" applyBorder="1" applyAlignment="1">
      <alignment horizontal="center" wrapText="1"/>
    </xf>
    <xf numFmtId="0" fontId="4" fillId="0" borderId="0" xfId="1" applyFont="1" applyBorder="1" applyAlignment="1">
      <alignment horizontal="center" wrapText="1"/>
    </xf>
    <xf numFmtId="0" fontId="1" fillId="4" borderId="0" xfId="47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10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5" fillId="11" borderId="1" xfId="47" applyFont="1" applyFill="1" applyBorder="1" applyAlignment="1"/>
    <xf numFmtId="0" fontId="5" fillId="12" borderId="1" xfId="47" applyFont="1" applyFill="1" applyBorder="1" applyAlignment="1"/>
    <xf numFmtId="0" fontId="5" fillId="13" borderId="1" xfId="47" applyFont="1" applyFill="1" applyBorder="1" applyAlignment="1"/>
    <xf numFmtId="0" fontId="5" fillId="14" borderId="1" xfId="47" applyFont="1" applyFill="1" applyBorder="1" applyAlignment="1"/>
    <xf numFmtId="0" fontId="5" fillId="15" borderId="1" xfId="47" applyFont="1" applyFill="1" applyBorder="1" applyAlignment="1">
      <alignment wrapText="1"/>
    </xf>
    <xf numFmtId="0" fontId="5" fillId="16" borderId="1" xfId="47" applyFont="1" applyFill="1" applyBorder="1" applyAlignment="1">
      <alignment wrapText="1"/>
    </xf>
    <xf numFmtId="0" fontId="10" fillId="15" borderId="1" xfId="47" applyFont="1" applyFill="1" applyBorder="1" applyAlignment="1">
      <alignment wrapText="1"/>
    </xf>
  </cellXfs>
  <cellStyles count="51">
    <cellStyle name="Обычный" xfId="0" builtinId="0"/>
    <cellStyle name="Обычный 3" xfId="1"/>
    <cellStyle name="40% — Акцент6" xfId="2" builtinId="51"/>
    <cellStyle name="Акцент4" xfId="3" builtinId="41"/>
    <cellStyle name="20% — Акцент6" xfId="4" builtinId="50"/>
    <cellStyle name="Гиперссылка" xfId="5" builtinId="8"/>
    <cellStyle name="40% — Акцент5" xfId="6" builtinId="47"/>
    <cellStyle name="Акцент3" xfId="7" builtinId="37"/>
    <cellStyle name="20% — Акцент5" xfId="8" builtinId="46"/>
    <cellStyle name="Акцент2" xfId="9" builtinId="33"/>
    <cellStyle name="20% — Акцент4" xfId="10" builtinId="42"/>
    <cellStyle name="Заголовок 2" xfId="11" builtinId="17"/>
    <cellStyle name="60% — Акцент3" xfId="12" builtinId="40"/>
    <cellStyle name="Акцент1" xfId="13" builtinId="29"/>
    <cellStyle name="20% — Акцент3" xfId="14" builtinId="38"/>
    <cellStyle name="Заголовок 1" xfId="15" builtinId="16"/>
    <cellStyle name="Денежный" xfId="16" builtinId="4"/>
    <cellStyle name="60% — Акцент2" xfId="17" builtinId="36"/>
    <cellStyle name="Ввод" xfId="18" builtinId="20"/>
    <cellStyle name="Акцент6" xfId="19" builtinId="49"/>
    <cellStyle name="Процент" xfId="20" builtinId="5"/>
    <cellStyle name="40% — Акцент2" xfId="21" builtinId="35"/>
    <cellStyle name="20% — Акцент2" xfId="22" builtinId="34"/>
    <cellStyle name="Запятая" xfId="23" builtinId="3"/>
    <cellStyle name="Акцент5" xfId="24" builtinId="45"/>
    <cellStyle name="Нейтральный" xfId="25" builtinId="28"/>
    <cellStyle name="40% — Акцент1" xfId="26" builtinId="31"/>
    <cellStyle name="20% — Акцент1" xfId="27" builtinId="30"/>
    <cellStyle name="Открывавшаяся гиперссылка" xfId="28" builtinId="9"/>
    <cellStyle name="Связанная ячейка" xfId="29" builtinId="24"/>
    <cellStyle name="Проверить ячейку" xfId="30" builtinId="23"/>
    <cellStyle name="60% — Акцент5" xfId="31" builtinId="48"/>
    <cellStyle name="Заголовок 4" xfId="32" builtinId="19"/>
    <cellStyle name="Заголовок 3" xfId="33" builtinId="18"/>
    <cellStyle name="60% — Акцент4" xfId="34" builtinId="44"/>
    <cellStyle name="Плохой" xfId="35" builtinId="27"/>
    <cellStyle name="Вычисление" xfId="36" builtinId="22"/>
    <cellStyle name="60% — Акцент6" xfId="37" builtinId="52"/>
    <cellStyle name="Денежный [0]" xfId="38" builtinId="7"/>
    <cellStyle name="Пояснительный текст" xfId="39" builtinId="53"/>
    <cellStyle name="40% — Акцент3" xfId="40" builtinId="39"/>
    <cellStyle name="Заголовок" xfId="41" builtinId="15"/>
    <cellStyle name="Запятая [0]" xfId="42" builtinId="6"/>
    <cellStyle name="Итого" xfId="43" builtinId="25"/>
    <cellStyle name="Предупреждающий текст" xfId="44" builtinId="11"/>
    <cellStyle name="Примечание" xfId="45" builtinId="10"/>
    <cellStyle name="60% — Акцент1" xfId="46" builtinId="32"/>
    <cellStyle name="Обычный 2" xfId="47"/>
    <cellStyle name="Хороший" xfId="48" builtinId="26"/>
    <cellStyle name="40% — Акцент4" xfId="49" builtinId="43"/>
    <cellStyle name="Вывод" xfId="50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220"/>
  <sheetViews>
    <sheetView topLeftCell="AV1" workbookViewId="0">
      <pane ySplit="2" topLeftCell="A3" activePane="bottomLeft" state="frozen"/>
      <selection/>
      <selection pane="bottomLeft" activeCell="BD12" sqref="BD12"/>
    </sheetView>
  </sheetViews>
  <sheetFormatPr defaultColWidth="8.8" defaultRowHeight="15"/>
  <cols>
    <col min="1" max="1" width="20.1" style="2" customWidth="1"/>
    <col min="2" max="3" width="8.8" style="2"/>
    <col min="4" max="4" width="10.7" style="2" customWidth="1"/>
    <col min="5" max="6" width="8.8" style="2"/>
    <col min="7" max="7" width="12.1" style="2" customWidth="1"/>
    <col min="8" max="8" width="11" style="2" customWidth="1"/>
    <col min="16" max="16" width="10.9" customWidth="1"/>
    <col min="17" max="17" width="12.8" customWidth="1"/>
    <col min="19" max="19" width="11.7" customWidth="1"/>
    <col min="22" max="22" width="11.7" customWidth="1"/>
    <col min="23" max="23" width="11.1" customWidth="1"/>
    <col min="24" max="24" width="10.5" customWidth="1"/>
    <col min="34" max="34" width="10.3" customWidth="1"/>
    <col min="35" max="35" width="11.8" customWidth="1"/>
    <col min="38" max="38" width="12.7" customWidth="1"/>
    <col min="43" max="43" width="11.9" customWidth="1"/>
    <col min="44" max="44" width="11.8" customWidth="1"/>
    <col min="45" max="45" width="13.8" customWidth="1"/>
    <col min="46" max="46" width="10" customWidth="1"/>
    <col min="48" max="48" width="14.9" customWidth="1"/>
    <col min="49" max="49" width="11.6" customWidth="1"/>
    <col min="52" max="52" width="13.1" style="5" customWidth="1"/>
    <col min="53" max="53" width="12.8" style="5" customWidth="1"/>
    <col min="54" max="54" width="12.7" customWidth="1"/>
    <col min="55" max="55" width="12.9" customWidth="1"/>
    <col min="56" max="56" width="13.7" customWidth="1"/>
    <col min="57" max="57" width="13.4" customWidth="1"/>
    <col min="58" max="58" width="11.7" customWidth="1"/>
    <col min="59" max="59" width="13.3" customWidth="1"/>
    <col min="60" max="60" width="13" customWidth="1"/>
    <col min="61" max="61" width="12.7" customWidth="1"/>
    <col min="62" max="62" width="11.7" customWidth="1"/>
    <col min="63" max="63" width="13.6" customWidth="1"/>
    <col min="64" max="64" width="13" customWidth="1"/>
    <col min="65" max="65" width="16" customWidth="1"/>
    <col min="66" max="66" width="12.2" customWidth="1"/>
    <col min="67" max="67" width="13.3" customWidth="1"/>
    <col min="68" max="68" width="14.4" customWidth="1"/>
    <col min="69" max="69" width="1.8" style="6" customWidth="1"/>
    <col min="70" max="70" width="8.8" style="2"/>
    <col min="71" max="71" width="9.4" style="2" customWidth="1"/>
    <col min="72" max="75" width="8.8" style="2"/>
  </cols>
  <sheetData>
    <row r="1" s="4" customFormat="1" spans="1:75">
      <c r="A1" s="7" t="s">
        <v>0</v>
      </c>
      <c r="B1" s="8" t="s">
        <v>1</v>
      </c>
      <c r="C1" s="9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21" t="s">
        <v>21</v>
      </c>
      <c r="W1" s="21" t="s">
        <v>22</v>
      </c>
      <c r="X1" s="21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8" t="s">
        <v>48</v>
      </c>
      <c r="AX1" s="7" t="s">
        <v>49</v>
      </c>
      <c r="AY1" s="25" t="s">
        <v>50</v>
      </c>
      <c r="AZ1" s="26" t="s">
        <v>51</v>
      </c>
      <c r="BA1" s="26" t="s">
        <v>52</v>
      </c>
      <c r="BB1" s="27" t="s">
        <v>53</v>
      </c>
      <c r="BC1" s="27" t="s">
        <v>54</v>
      </c>
      <c r="BD1" s="27" t="s">
        <v>55</v>
      </c>
      <c r="BE1" s="27" t="s">
        <v>56</v>
      </c>
      <c r="BF1" s="27" t="s">
        <v>57</v>
      </c>
      <c r="BG1" s="27" t="s">
        <v>58</v>
      </c>
      <c r="BH1" s="27" t="s">
        <v>59</v>
      </c>
      <c r="BI1" s="27" t="s">
        <v>60</v>
      </c>
      <c r="BJ1" s="27" t="s">
        <v>61</v>
      </c>
      <c r="BK1" s="27" t="s">
        <v>62</v>
      </c>
      <c r="BL1" s="27" t="s">
        <v>63</v>
      </c>
      <c r="BM1" s="27" t="s">
        <v>64</v>
      </c>
      <c r="BN1" s="27" t="s">
        <v>65</v>
      </c>
      <c r="BO1" s="27" t="s">
        <v>66</v>
      </c>
      <c r="BP1" s="27" t="s">
        <v>67</v>
      </c>
      <c r="BQ1" s="28"/>
      <c r="BR1" s="27" t="s">
        <v>68</v>
      </c>
      <c r="BS1" s="27" t="s">
        <v>69</v>
      </c>
      <c r="BT1" s="27" t="s">
        <v>70</v>
      </c>
      <c r="BU1" s="27" t="s">
        <v>71</v>
      </c>
      <c r="BV1" s="27" t="s">
        <v>72</v>
      </c>
      <c r="BW1" s="27" t="s">
        <v>73</v>
      </c>
    </row>
    <row r="2" s="4" customFormat="1" spans="1:75">
      <c r="A2" s="10" t="s">
        <v>74</v>
      </c>
      <c r="B2" s="11" t="s">
        <v>75</v>
      </c>
      <c r="C2" s="11" t="s">
        <v>75</v>
      </c>
      <c r="D2" s="11" t="s">
        <v>75</v>
      </c>
      <c r="E2" s="10" t="s">
        <v>76</v>
      </c>
      <c r="F2" s="10" t="s">
        <v>74</v>
      </c>
      <c r="G2" s="10" t="s">
        <v>76</v>
      </c>
      <c r="H2" s="10" t="s">
        <v>74</v>
      </c>
      <c r="I2" s="10" t="s">
        <v>75</v>
      </c>
      <c r="J2" s="10" t="s">
        <v>75</v>
      </c>
      <c r="K2" s="10" t="s">
        <v>75</v>
      </c>
      <c r="L2" s="10" t="s">
        <v>75</v>
      </c>
      <c r="M2" s="10" t="s">
        <v>75</v>
      </c>
      <c r="N2" s="10" t="s">
        <v>75</v>
      </c>
      <c r="O2" s="10" t="s">
        <v>75</v>
      </c>
      <c r="P2" s="10" t="s">
        <v>75</v>
      </c>
      <c r="Q2" s="10" t="s">
        <v>75</v>
      </c>
      <c r="R2" s="10" t="s">
        <v>77</v>
      </c>
      <c r="S2" s="10" t="s">
        <v>77</v>
      </c>
      <c r="T2" s="10" t="s">
        <v>75</v>
      </c>
      <c r="U2" s="10" t="s">
        <v>75</v>
      </c>
      <c r="V2" s="22" t="s">
        <v>75</v>
      </c>
      <c r="W2" s="22" t="s">
        <v>75</v>
      </c>
      <c r="X2" s="22" t="s">
        <v>75</v>
      </c>
      <c r="Y2" s="24" t="s">
        <v>75</v>
      </c>
      <c r="Z2" s="24" t="s">
        <v>75</v>
      </c>
      <c r="AA2" s="24" t="s">
        <v>75</v>
      </c>
      <c r="AB2" s="24" t="s">
        <v>75</v>
      </c>
      <c r="AC2" s="24" t="s">
        <v>75</v>
      </c>
      <c r="AD2" s="24" t="s">
        <v>75</v>
      </c>
      <c r="AE2" s="10" t="s">
        <v>77</v>
      </c>
      <c r="AF2" s="10" t="s">
        <v>75</v>
      </c>
      <c r="AG2" s="10" t="s">
        <v>77</v>
      </c>
      <c r="AH2" s="10" t="s">
        <v>77</v>
      </c>
      <c r="AI2" s="10" t="s">
        <v>77</v>
      </c>
      <c r="AJ2" s="10" t="s">
        <v>74</v>
      </c>
      <c r="AK2" s="10" t="s">
        <v>75</v>
      </c>
      <c r="AL2" s="10" t="s">
        <v>77</v>
      </c>
      <c r="AM2" s="10" t="s">
        <v>78</v>
      </c>
      <c r="AN2" s="10" t="s">
        <v>78</v>
      </c>
      <c r="AO2" s="10" t="s">
        <v>78</v>
      </c>
      <c r="AP2" s="10" t="s">
        <v>78</v>
      </c>
      <c r="AQ2" s="10" t="s">
        <v>77</v>
      </c>
      <c r="AR2" s="10" t="s">
        <v>75</v>
      </c>
      <c r="AS2" s="10" t="s">
        <v>75</v>
      </c>
      <c r="AT2" s="10" t="s">
        <v>75</v>
      </c>
      <c r="AU2" s="10" t="s">
        <v>75</v>
      </c>
      <c r="AV2" s="10" t="s">
        <v>74</v>
      </c>
      <c r="AW2" s="11" t="s">
        <v>75</v>
      </c>
      <c r="AX2" s="10" t="s">
        <v>75</v>
      </c>
      <c r="AY2" s="10" t="s">
        <v>75</v>
      </c>
      <c r="AZ2" s="10" t="s">
        <v>75</v>
      </c>
      <c r="BA2" s="10" t="s">
        <v>75</v>
      </c>
      <c r="BB2" s="10" t="s">
        <v>75</v>
      </c>
      <c r="BC2" s="10" t="s">
        <v>75</v>
      </c>
      <c r="BD2" s="10" t="s">
        <v>75</v>
      </c>
      <c r="BE2" s="10" t="s">
        <v>75</v>
      </c>
      <c r="BF2" s="10" t="s">
        <v>75</v>
      </c>
      <c r="BG2" s="10" t="s">
        <v>75</v>
      </c>
      <c r="BH2" s="10" t="s">
        <v>75</v>
      </c>
      <c r="BI2" s="10" t="s">
        <v>75</v>
      </c>
      <c r="BJ2" s="10" t="s">
        <v>75</v>
      </c>
      <c r="BK2" s="10" t="s">
        <v>75</v>
      </c>
      <c r="BL2" s="10" t="s">
        <v>75</v>
      </c>
      <c r="BM2" s="10" t="s">
        <v>75</v>
      </c>
      <c r="BN2" s="10" t="s">
        <v>75</v>
      </c>
      <c r="BO2" s="10" t="s">
        <v>75</v>
      </c>
      <c r="BP2" s="10" t="s">
        <v>75</v>
      </c>
      <c r="BQ2" s="28"/>
      <c r="BR2" s="10" t="s">
        <v>75</v>
      </c>
      <c r="BS2" s="10" t="s">
        <v>75</v>
      </c>
      <c r="BT2" s="10" t="s">
        <v>75</v>
      </c>
      <c r="BU2" s="10" t="s">
        <v>75</v>
      </c>
      <c r="BV2" s="10" t="s">
        <v>75</v>
      </c>
      <c r="BW2" s="10" t="s">
        <v>75</v>
      </c>
    </row>
    <row r="3" spans="1:75">
      <c r="A3" s="12" t="s">
        <v>79</v>
      </c>
      <c r="BR3" s="2">
        <f>$I3*($AZ3/100)+$L3*($BA3/100)</f>
        <v>0</v>
      </c>
      <c r="BT3" s="2">
        <f>$I3*($BG3/100)+$M3*($BF3/100)</f>
        <v>0</v>
      </c>
      <c r="BU3" s="2">
        <f>$L3*($BD3/100)+$J3*($BE3/100)</f>
        <v>0</v>
      </c>
      <c r="BV3" s="2">
        <f>K3*(BI3/100)+J3*(BH3/100)+8</f>
        <v>8</v>
      </c>
      <c r="BW3" s="2">
        <f>$K3*($BB3/100)+$M3*($BC3/100)</f>
        <v>0</v>
      </c>
    </row>
    <row r="4" spans="1:75">
      <c r="A4" s="12" t="s">
        <v>80</v>
      </c>
      <c r="BR4" s="2">
        <f t="shared" ref="BR4:BR67" si="0">$I4*($AZ4/100)+$L4*($BA4/100)</f>
        <v>0</v>
      </c>
      <c r="BT4" s="2">
        <f t="shared" ref="BT4:BT67" si="1">$I4*($BG4/100)+$M4*($BF4/100)</f>
        <v>0</v>
      </c>
      <c r="BU4" s="2">
        <f t="shared" ref="BU4:BU67" si="2">$L4*($BD4/100)+$J4*($BE4/100)</f>
        <v>0</v>
      </c>
      <c r="BV4" s="2">
        <f t="shared" ref="BV4:BV67" si="3">K4*(BI4/100)+J4*(BH4/100)+8</f>
        <v>8</v>
      </c>
      <c r="BW4" s="2">
        <f t="shared" ref="BW4:BW67" si="4">$K4*($BB4/100)+$M4*($BC4/100)</f>
        <v>0</v>
      </c>
    </row>
    <row r="5" spans="1:75">
      <c r="A5" s="12" t="s">
        <v>81</v>
      </c>
      <c r="BR5" s="2">
        <f t="shared" si="0"/>
        <v>0</v>
      </c>
      <c r="BT5" s="2">
        <f t="shared" si="1"/>
        <v>0</v>
      </c>
      <c r="BU5" s="2">
        <f t="shared" si="2"/>
        <v>0</v>
      </c>
      <c r="BV5" s="2">
        <f t="shared" si="3"/>
        <v>8</v>
      </c>
      <c r="BW5" s="2">
        <f t="shared" si="4"/>
        <v>0</v>
      </c>
    </row>
    <row r="6" spans="1:75">
      <c r="A6" s="12" t="s">
        <v>82</v>
      </c>
      <c r="BR6" s="2">
        <f t="shared" si="0"/>
        <v>0</v>
      </c>
      <c r="BT6" s="2">
        <f t="shared" si="1"/>
        <v>0</v>
      </c>
      <c r="BU6" s="2">
        <f t="shared" si="2"/>
        <v>0</v>
      </c>
      <c r="BV6" s="2">
        <f t="shared" si="3"/>
        <v>8</v>
      </c>
      <c r="BW6" s="2">
        <f t="shared" si="4"/>
        <v>0</v>
      </c>
    </row>
    <row r="7" spans="1:75">
      <c r="A7" s="13" t="s">
        <v>83</v>
      </c>
      <c r="BR7" s="2">
        <f t="shared" si="0"/>
        <v>0</v>
      </c>
      <c r="BT7" s="2">
        <f t="shared" si="1"/>
        <v>0</v>
      </c>
      <c r="BU7" s="2">
        <f t="shared" si="2"/>
        <v>0</v>
      </c>
      <c r="BV7" s="2">
        <f t="shared" si="3"/>
        <v>8</v>
      </c>
      <c r="BW7" s="2">
        <f t="shared" si="4"/>
        <v>0</v>
      </c>
    </row>
    <row r="8" spans="1:75">
      <c r="A8" s="14" t="s">
        <v>84</v>
      </c>
      <c r="BR8" s="2">
        <f t="shared" si="0"/>
        <v>0</v>
      </c>
      <c r="BT8" s="2">
        <f t="shared" si="1"/>
        <v>0</v>
      </c>
      <c r="BU8" s="2">
        <f t="shared" si="2"/>
        <v>0</v>
      </c>
      <c r="BV8" s="2">
        <f t="shared" si="3"/>
        <v>8</v>
      </c>
      <c r="BW8" s="2">
        <f t="shared" si="4"/>
        <v>0</v>
      </c>
    </row>
    <row r="9" spans="1:75">
      <c r="A9" s="14" t="s">
        <v>85</v>
      </c>
      <c r="BR9" s="2">
        <f t="shared" si="0"/>
        <v>0</v>
      </c>
      <c r="BT9" s="2">
        <f t="shared" si="1"/>
        <v>0</v>
      </c>
      <c r="BU9" s="2">
        <f t="shared" si="2"/>
        <v>0</v>
      </c>
      <c r="BV9" s="2">
        <f t="shared" si="3"/>
        <v>8</v>
      </c>
      <c r="BW9" s="2">
        <f t="shared" si="4"/>
        <v>0</v>
      </c>
    </row>
    <row r="10" spans="1:75">
      <c r="A10" s="14" t="s">
        <v>86</v>
      </c>
      <c r="BR10" s="2">
        <f t="shared" si="0"/>
        <v>0</v>
      </c>
      <c r="BT10" s="2">
        <f t="shared" si="1"/>
        <v>0</v>
      </c>
      <c r="BU10" s="2">
        <f t="shared" si="2"/>
        <v>0</v>
      </c>
      <c r="BV10" s="2">
        <f t="shared" si="3"/>
        <v>8</v>
      </c>
      <c r="BW10" s="2">
        <f t="shared" si="4"/>
        <v>0</v>
      </c>
    </row>
    <row r="11" spans="1:75">
      <c r="A11" s="14" t="s">
        <v>87</v>
      </c>
      <c r="BR11" s="2">
        <f t="shared" si="0"/>
        <v>0</v>
      </c>
      <c r="BT11" s="2">
        <f t="shared" si="1"/>
        <v>0</v>
      </c>
      <c r="BU11" s="2">
        <f t="shared" si="2"/>
        <v>0</v>
      </c>
      <c r="BV11" s="2">
        <f t="shared" si="3"/>
        <v>8</v>
      </c>
      <c r="BW11" s="2">
        <f t="shared" si="4"/>
        <v>0</v>
      </c>
    </row>
    <row r="12" spans="1:75">
      <c r="A12" s="13" t="s">
        <v>88</v>
      </c>
      <c r="BR12" s="2">
        <f t="shared" si="0"/>
        <v>0</v>
      </c>
      <c r="BT12" s="2">
        <f t="shared" si="1"/>
        <v>0</v>
      </c>
      <c r="BU12" s="2">
        <f t="shared" si="2"/>
        <v>0</v>
      </c>
      <c r="BV12" s="2">
        <f t="shared" si="3"/>
        <v>8</v>
      </c>
      <c r="BW12" s="2">
        <f t="shared" si="4"/>
        <v>0</v>
      </c>
    </row>
    <row r="13" spans="1:75">
      <c r="A13" s="14" t="s">
        <v>89</v>
      </c>
      <c r="BR13" s="2">
        <f t="shared" si="0"/>
        <v>0</v>
      </c>
      <c r="BT13" s="2">
        <f t="shared" si="1"/>
        <v>0</v>
      </c>
      <c r="BU13" s="2">
        <f t="shared" si="2"/>
        <v>0</v>
      </c>
      <c r="BV13" s="2">
        <f t="shared" si="3"/>
        <v>8</v>
      </c>
      <c r="BW13" s="2">
        <f t="shared" si="4"/>
        <v>0</v>
      </c>
    </row>
    <row r="14" spans="1:75">
      <c r="A14" s="14" t="s">
        <v>90</v>
      </c>
      <c r="BR14" s="2">
        <f t="shared" si="0"/>
        <v>0</v>
      </c>
      <c r="BT14" s="2">
        <f t="shared" si="1"/>
        <v>0</v>
      </c>
      <c r="BU14" s="2">
        <f t="shared" si="2"/>
        <v>0</v>
      </c>
      <c r="BV14" s="2">
        <f t="shared" si="3"/>
        <v>8</v>
      </c>
      <c r="BW14" s="2">
        <f t="shared" si="4"/>
        <v>0</v>
      </c>
    </row>
    <row r="15" spans="1:75">
      <c r="A15" s="15" t="s">
        <v>91</v>
      </c>
      <c r="BR15" s="2">
        <f t="shared" si="0"/>
        <v>0</v>
      </c>
      <c r="BT15" s="2">
        <f t="shared" si="1"/>
        <v>0</v>
      </c>
      <c r="BU15" s="2">
        <f t="shared" si="2"/>
        <v>0</v>
      </c>
      <c r="BV15" s="2">
        <f t="shared" si="3"/>
        <v>8</v>
      </c>
      <c r="BW15" s="2">
        <f t="shared" si="4"/>
        <v>0</v>
      </c>
    </row>
    <row r="16" spans="1:75">
      <c r="A16" s="12" t="s">
        <v>92</v>
      </c>
      <c r="BR16" s="2">
        <f t="shared" si="0"/>
        <v>0</v>
      </c>
      <c r="BT16" s="2">
        <f t="shared" si="1"/>
        <v>0</v>
      </c>
      <c r="BU16" s="2">
        <f t="shared" si="2"/>
        <v>0</v>
      </c>
      <c r="BV16" s="2">
        <f t="shared" si="3"/>
        <v>8</v>
      </c>
      <c r="BW16" s="2">
        <f t="shared" si="4"/>
        <v>0</v>
      </c>
    </row>
    <row r="17" spans="1:75">
      <c r="A17" s="16" t="s">
        <v>93</v>
      </c>
      <c r="BR17" s="2">
        <f t="shared" si="0"/>
        <v>0</v>
      </c>
      <c r="BT17" s="2">
        <f t="shared" si="1"/>
        <v>0</v>
      </c>
      <c r="BU17" s="2">
        <f t="shared" si="2"/>
        <v>0</v>
      </c>
      <c r="BV17" s="2">
        <f t="shared" si="3"/>
        <v>8</v>
      </c>
      <c r="BW17" s="2">
        <f t="shared" si="4"/>
        <v>0</v>
      </c>
    </row>
    <row r="18" spans="1:75">
      <c r="A18" s="17" t="s">
        <v>94</v>
      </c>
      <c r="BR18" s="2">
        <f t="shared" si="0"/>
        <v>0</v>
      </c>
      <c r="BT18" s="2">
        <f t="shared" si="1"/>
        <v>0</v>
      </c>
      <c r="BU18" s="2">
        <f t="shared" si="2"/>
        <v>0</v>
      </c>
      <c r="BV18" s="2">
        <f t="shared" si="3"/>
        <v>8</v>
      </c>
      <c r="BW18" s="2">
        <f t="shared" si="4"/>
        <v>0</v>
      </c>
    </row>
    <row r="19" spans="1:75">
      <c r="A19" s="12" t="s">
        <v>95</v>
      </c>
      <c r="BR19" s="2">
        <f t="shared" si="0"/>
        <v>0</v>
      </c>
      <c r="BT19" s="2">
        <f t="shared" si="1"/>
        <v>0</v>
      </c>
      <c r="BU19" s="2">
        <f t="shared" si="2"/>
        <v>0</v>
      </c>
      <c r="BV19" s="2">
        <f t="shared" si="3"/>
        <v>8</v>
      </c>
      <c r="BW19" s="2">
        <f t="shared" si="4"/>
        <v>0</v>
      </c>
    </row>
    <row r="20" spans="1:75">
      <c r="A20" s="12" t="s">
        <v>96</v>
      </c>
      <c r="BR20" s="2">
        <f t="shared" si="0"/>
        <v>0</v>
      </c>
      <c r="BT20" s="2">
        <f t="shared" si="1"/>
        <v>0</v>
      </c>
      <c r="BU20" s="2">
        <f t="shared" si="2"/>
        <v>0</v>
      </c>
      <c r="BV20" s="2">
        <f t="shared" si="3"/>
        <v>8</v>
      </c>
      <c r="BW20" s="2">
        <f t="shared" si="4"/>
        <v>0</v>
      </c>
    </row>
    <row r="21" spans="1:75">
      <c r="A21" s="12" t="s">
        <v>97</v>
      </c>
      <c r="BR21" s="2">
        <f t="shared" si="0"/>
        <v>0</v>
      </c>
      <c r="BT21" s="2">
        <f t="shared" si="1"/>
        <v>0</v>
      </c>
      <c r="BU21" s="2">
        <f t="shared" si="2"/>
        <v>0</v>
      </c>
      <c r="BV21" s="2">
        <f t="shared" si="3"/>
        <v>8</v>
      </c>
      <c r="BW21" s="2">
        <f t="shared" si="4"/>
        <v>0</v>
      </c>
    </row>
    <row r="22" spans="1:75">
      <c r="A22" s="12" t="s">
        <v>98</v>
      </c>
      <c r="BR22" s="2">
        <f t="shared" si="0"/>
        <v>0</v>
      </c>
      <c r="BT22" s="2">
        <f t="shared" si="1"/>
        <v>0</v>
      </c>
      <c r="BU22" s="2">
        <f t="shared" si="2"/>
        <v>0</v>
      </c>
      <c r="BV22" s="2">
        <f t="shared" si="3"/>
        <v>8</v>
      </c>
      <c r="BW22" s="2">
        <f t="shared" si="4"/>
        <v>0</v>
      </c>
    </row>
    <row r="23" spans="1:75">
      <c r="A23" s="17" t="s">
        <v>99</v>
      </c>
      <c r="BR23" s="2">
        <f t="shared" si="0"/>
        <v>0</v>
      </c>
      <c r="BT23" s="2">
        <f t="shared" si="1"/>
        <v>0</v>
      </c>
      <c r="BU23" s="2">
        <f t="shared" si="2"/>
        <v>0</v>
      </c>
      <c r="BV23" s="2">
        <f t="shared" si="3"/>
        <v>8</v>
      </c>
      <c r="BW23" s="2">
        <f t="shared" si="4"/>
        <v>0</v>
      </c>
    </row>
    <row r="24" spans="1:75">
      <c r="A24" s="12" t="s">
        <v>100</v>
      </c>
      <c r="BR24" s="2">
        <f t="shared" si="0"/>
        <v>0</v>
      </c>
      <c r="BT24" s="2">
        <f t="shared" si="1"/>
        <v>0</v>
      </c>
      <c r="BU24" s="2">
        <f t="shared" si="2"/>
        <v>0</v>
      </c>
      <c r="BV24" s="2">
        <f t="shared" si="3"/>
        <v>8</v>
      </c>
      <c r="BW24" s="2">
        <f t="shared" si="4"/>
        <v>0</v>
      </c>
    </row>
    <row r="25" spans="1:75">
      <c r="A25" s="12" t="s">
        <v>101</v>
      </c>
      <c r="BR25" s="2">
        <f t="shared" si="0"/>
        <v>0</v>
      </c>
      <c r="BT25" s="2">
        <f t="shared" si="1"/>
        <v>0</v>
      </c>
      <c r="BU25" s="2">
        <f t="shared" si="2"/>
        <v>0</v>
      </c>
      <c r="BV25" s="2">
        <f t="shared" si="3"/>
        <v>8</v>
      </c>
      <c r="BW25" s="2">
        <f t="shared" si="4"/>
        <v>0</v>
      </c>
    </row>
    <row r="26" spans="1:75">
      <c r="A26" s="12" t="s">
        <v>102</v>
      </c>
      <c r="BR26" s="2">
        <f t="shared" si="0"/>
        <v>0</v>
      </c>
      <c r="BT26" s="2">
        <f t="shared" si="1"/>
        <v>0</v>
      </c>
      <c r="BU26" s="2">
        <f t="shared" si="2"/>
        <v>0</v>
      </c>
      <c r="BV26" s="2">
        <f t="shared" si="3"/>
        <v>8</v>
      </c>
      <c r="BW26" s="2">
        <f t="shared" si="4"/>
        <v>0</v>
      </c>
    </row>
    <row r="27" spans="1:75">
      <c r="A27" s="12" t="s">
        <v>103</v>
      </c>
      <c r="BR27" s="2">
        <f t="shared" si="0"/>
        <v>0</v>
      </c>
      <c r="BT27" s="2">
        <f t="shared" si="1"/>
        <v>0</v>
      </c>
      <c r="BU27" s="2">
        <f t="shared" si="2"/>
        <v>0</v>
      </c>
      <c r="BV27" s="2">
        <f t="shared" si="3"/>
        <v>8</v>
      </c>
      <c r="BW27" s="2">
        <f t="shared" si="4"/>
        <v>0</v>
      </c>
    </row>
    <row r="28" spans="1:75">
      <c r="A28" s="12" t="s">
        <v>104</v>
      </c>
      <c r="BR28" s="2">
        <f t="shared" si="0"/>
        <v>0</v>
      </c>
      <c r="BT28" s="2">
        <f t="shared" si="1"/>
        <v>0</v>
      </c>
      <c r="BU28" s="2">
        <f t="shared" si="2"/>
        <v>0</v>
      </c>
      <c r="BV28" s="2">
        <f t="shared" si="3"/>
        <v>8</v>
      </c>
      <c r="BW28" s="2">
        <f t="shared" si="4"/>
        <v>0</v>
      </c>
    </row>
    <row r="29" spans="1:75">
      <c r="A29" s="18" t="s">
        <v>105</v>
      </c>
      <c r="BR29" s="2">
        <f t="shared" si="0"/>
        <v>0</v>
      </c>
      <c r="BT29" s="2">
        <f t="shared" si="1"/>
        <v>0</v>
      </c>
      <c r="BU29" s="2">
        <f t="shared" si="2"/>
        <v>0</v>
      </c>
      <c r="BV29" s="2">
        <f t="shared" si="3"/>
        <v>8</v>
      </c>
      <c r="BW29" s="2">
        <f t="shared" si="4"/>
        <v>0</v>
      </c>
    </row>
    <row r="30" spans="1:75">
      <c r="A30" s="12" t="s">
        <v>106</v>
      </c>
      <c r="BR30" s="2">
        <f t="shared" si="0"/>
        <v>0</v>
      </c>
      <c r="BT30" s="2">
        <f t="shared" si="1"/>
        <v>0</v>
      </c>
      <c r="BU30" s="2">
        <f t="shared" si="2"/>
        <v>0</v>
      </c>
      <c r="BV30" s="2">
        <f t="shared" si="3"/>
        <v>8</v>
      </c>
      <c r="BW30" s="2">
        <f t="shared" si="4"/>
        <v>0</v>
      </c>
    </row>
    <row r="31" spans="1:75">
      <c r="A31" s="12" t="s">
        <v>107</v>
      </c>
      <c r="BR31" s="2">
        <f t="shared" si="0"/>
        <v>0</v>
      </c>
      <c r="BT31" s="2">
        <f t="shared" si="1"/>
        <v>0</v>
      </c>
      <c r="BU31" s="2">
        <f t="shared" si="2"/>
        <v>0</v>
      </c>
      <c r="BV31" s="2">
        <f t="shared" si="3"/>
        <v>8</v>
      </c>
      <c r="BW31" s="2">
        <f t="shared" si="4"/>
        <v>0</v>
      </c>
    </row>
    <row r="32" spans="1:75">
      <c r="A32" s="12" t="s">
        <v>108</v>
      </c>
      <c r="BR32" s="2">
        <f t="shared" si="0"/>
        <v>0</v>
      </c>
      <c r="BT32" s="2">
        <f t="shared" si="1"/>
        <v>0</v>
      </c>
      <c r="BU32" s="2">
        <f t="shared" si="2"/>
        <v>0</v>
      </c>
      <c r="BV32" s="2">
        <f t="shared" si="3"/>
        <v>8</v>
      </c>
      <c r="BW32" s="2">
        <f t="shared" si="4"/>
        <v>0</v>
      </c>
    </row>
    <row r="33" spans="1:75">
      <c r="A33" s="12" t="s">
        <v>109</v>
      </c>
      <c r="BR33" s="2">
        <f t="shared" si="0"/>
        <v>0</v>
      </c>
      <c r="BT33" s="2">
        <f t="shared" si="1"/>
        <v>0</v>
      </c>
      <c r="BU33" s="2">
        <f t="shared" si="2"/>
        <v>0</v>
      </c>
      <c r="BV33" s="2">
        <f t="shared" si="3"/>
        <v>8</v>
      </c>
      <c r="BW33" s="2">
        <f t="shared" si="4"/>
        <v>0</v>
      </c>
    </row>
    <row r="34" spans="1:75">
      <c r="A34" s="12" t="s">
        <v>110</v>
      </c>
      <c r="BR34" s="2">
        <f t="shared" si="0"/>
        <v>0</v>
      </c>
      <c r="BT34" s="2">
        <f t="shared" si="1"/>
        <v>0</v>
      </c>
      <c r="BU34" s="2">
        <f t="shared" si="2"/>
        <v>0</v>
      </c>
      <c r="BV34" s="2">
        <f t="shared" si="3"/>
        <v>8</v>
      </c>
      <c r="BW34" s="2">
        <f t="shared" si="4"/>
        <v>0</v>
      </c>
    </row>
    <row r="35" spans="1:75">
      <c r="A35" s="12" t="s">
        <v>111</v>
      </c>
      <c r="BR35" s="2">
        <f t="shared" si="0"/>
        <v>0</v>
      </c>
      <c r="BT35" s="2">
        <f t="shared" si="1"/>
        <v>0</v>
      </c>
      <c r="BU35" s="2">
        <f t="shared" si="2"/>
        <v>0</v>
      </c>
      <c r="BV35" s="2">
        <f t="shared" si="3"/>
        <v>8</v>
      </c>
      <c r="BW35" s="2">
        <f t="shared" si="4"/>
        <v>0</v>
      </c>
    </row>
    <row r="36" spans="1:75">
      <c r="A36" s="12" t="s">
        <v>112</v>
      </c>
      <c r="BR36" s="2">
        <f t="shared" si="0"/>
        <v>0</v>
      </c>
      <c r="BT36" s="2">
        <f t="shared" si="1"/>
        <v>0</v>
      </c>
      <c r="BU36" s="2">
        <f t="shared" si="2"/>
        <v>0</v>
      </c>
      <c r="BV36" s="2">
        <f t="shared" si="3"/>
        <v>8</v>
      </c>
      <c r="BW36" s="2">
        <f t="shared" si="4"/>
        <v>0</v>
      </c>
    </row>
    <row r="37" spans="1:75">
      <c r="A37" s="12" t="s">
        <v>113</v>
      </c>
      <c r="BR37" s="2">
        <f t="shared" si="0"/>
        <v>0</v>
      </c>
      <c r="BT37" s="2">
        <f t="shared" si="1"/>
        <v>0</v>
      </c>
      <c r="BU37" s="2">
        <f t="shared" si="2"/>
        <v>0</v>
      </c>
      <c r="BV37" s="2">
        <f t="shared" si="3"/>
        <v>8</v>
      </c>
      <c r="BW37" s="2">
        <f t="shared" si="4"/>
        <v>0</v>
      </c>
    </row>
    <row r="38" spans="1:75">
      <c r="A38" s="12" t="s">
        <v>114</v>
      </c>
      <c r="BR38" s="2">
        <f t="shared" si="0"/>
        <v>0</v>
      </c>
      <c r="BT38" s="2">
        <f t="shared" si="1"/>
        <v>0</v>
      </c>
      <c r="BU38" s="2">
        <f t="shared" si="2"/>
        <v>0</v>
      </c>
      <c r="BV38" s="2">
        <f t="shared" si="3"/>
        <v>8</v>
      </c>
      <c r="BW38" s="2">
        <f t="shared" si="4"/>
        <v>0</v>
      </c>
    </row>
    <row r="39" spans="1:75">
      <c r="A39" s="18" t="s">
        <v>115</v>
      </c>
      <c r="BR39" s="2">
        <f t="shared" si="0"/>
        <v>0</v>
      </c>
      <c r="BT39" s="2">
        <f t="shared" si="1"/>
        <v>0</v>
      </c>
      <c r="BU39" s="2">
        <f t="shared" si="2"/>
        <v>0</v>
      </c>
      <c r="BV39" s="2">
        <f t="shared" si="3"/>
        <v>8</v>
      </c>
      <c r="BW39" s="2">
        <f t="shared" si="4"/>
        <v>0</v>
      </c>
    </row>
    <row r="40" spans="1:75">
      <c r="A40" s="18" t="s">
        <v>116</v>
      </c>
      <c r="BR40" s="2">
        <f t="shared" si="0"/>
        <v>0</v>
      </c>
      <c r="BT40" s="2">
        <f t="shared" si="1"/>
        <v>0</v>
      </c>
      <c r="BU40" s="2">
        <f t="shared" si="2"/>
        <v>0</v>
      </c>
      <c r="BV40" s="2">
        <f t="shared" si="3"/>
        <v>8</v>
      </c>
      <c r="BW40" s="2">
        <f t="shared" si="4"/>
        <v>0</v>
      </c>
    </row>
    <row r="41" spans="1:75">
      <c r="A41" s="12" t="s">
        <v>117</v>
      </c>
      <c r="BR41" s="2">
        <f t="shared" si="0"/>
        <v>0</v>
      </c>
      <c r="BT41" s="2">
        <f t="shared" si="1"/>
        <v>0</v>
      </c>
      <c r="BU41" s="2">
        <f t="shared" si="2"/>
        <v>0</v>
      </c>
      <c r="BV41" s="2">
        <f t="shared" si="3"/>
        <v>8</v>
      </c>
      <c r="BW41" s="2">
        <f t="shared" si="4"/>
        <v>0</v>
      </c>
    </row>
    <row r="42" spans="1:75">
      <c r="A42" s="12" t="s">
        <v>118</v>
      </c>
      <c r="BR42" s="2">
        <f t="shared" si="0"/>
        <v>0</v>
      </c>
      <c r="BT42" s="2">
        <f t="shared" si="1"/>
        <v>0</v>
      </c>
      <c r="BU42" s="2">
        <f t="shared" si="2"/>
        <v>0</v>
      </c>
      <c r="BV42" s="2">
        <f t="shared" si="3"/>
        <v>8</v>
      </c>
      <c r="BW42" s="2">
        <f t="shared" si="4"/>
        <v>0</v>
      </c>
    </row>
    <row r="43" spans="1:75">
      <c r="A43" s="18" t="s">
        <v>119</v>
      </c>
      <c r="BR43" s="2">
        <f t="shared" si="0"/>
        <v>0</v>
      </c>
      <c r="BT43" s="2">
        <f t="shared" si="1"/>
        <v>0</v>
      </c>
      <c r="BU43" s="2">
        <f t="shared" si="2"/>
        <v>0</v>
      </c>
      <c r="BV43" s="2">
        <f t="shared" si="3"/>
        <v>8</v>
      </c>
      <c r="BW43" s="2">
        <f t="shared" si="4"/>
        <v>0</v>
      </c>
    </row>
    <row r="44" spans="1:75">
      <c r="A44" s="12" t="s">
        <v>120</v>
      </c>
      <c r="BR44" s="2">
        <f t="shared" si="0"/>
        <v>0</v>
      </c>
      <c r="BT44" s="2">
        <f t="shared" si="1"/>
        <v>0</v>
      </c>
      <c r="BU44" s="2">
        <f t="shared" si="2"/>
        <v>0</v>
      </c>
      <c r="BV44" s="2">
        <f t="shared" si="3"/>
        <v>8</v>
      </c>
      <c r="BW44" s="2">
        <f t="shared" si="4"/>
        <v>0</v>
      </c>
    </row>
    <row r="45" spans="1:75">
      <c r="A45" s="14" t="s">
        <v>121</v>
      </c>
      <c r="BR45" s="2">
        <f t="shared" si="0"/>
        <v>0</v>
      </c>
      <c r="BT45" s="2">
        <f t="shared" si="1"/>
        <v>0</v>
      </c>
      <c r="BU45" s="2">
        <f t="shared" si="2"/>
        <v>0</v>
      </c>
      <c r="BV45" s="2">
        <f t="shared" si="3"/>
        <v>8</v>
      </c>
      <c r="BW45" s="2">
        <f t="shared" si="4"/>
        <v>0</v>
      </c>
    </row>
    <row r="46" spans="1:75">
      <c r="A46" s="12" t="s">
        <v>122</v>
      </c>
      <c r="BR46" s="2">
        <f t="shared" si="0"/>
        <v>0</v>
      </c>
      <c r="BT46" s="2">
        <f t="shared" si="1"/>
        <v>0</v>
      </c>
      <c r="BU46" s="2">
        <f t="shared" si="2"/>
        <v>0</v>
      </c>
      <c r="BV46" s="2">
        <f t="shared" si="3"/>
        <v>8</v>
      </c>
      <c r="BW46" s="2">
        <f t="shared" si="4"/>
        <v>0</v>
      </c>
    </row>
    <row r="47" spans="1:75">
      <c r="A47" s="12" t="s">
        <v>123</v>
      </c>
      <c r="BR47" s="2">
        <f t="shared" si="0"/>
        <v>0</v>
      </c>
      <c r="BT47" s="2">
        <f t="shared" si="1"/>
        <v>0</v>
      </c>
      <c r="BU47" s="2">
        <f t="shared" si="2"/>
        <v>0</v>
      </c>
      <c r="BV47" s="2">
        <f t="shared" si="3"/>
        <v>8</v>
      </c>
      <c r="BW47" s="2">
        <f t="shared" si="4"/>
        <v>0</v>
      </c>
    </row>
    <row r="48" spans="1:75">
      <c r="A48" s="12" t="s">
        <v>124</v>
      </c>
      <c r="BR48" s="2">
        <f t="shared" si="0"/>
        <v>0</v>
      </c>
      <c r="BT48" s="2">
        <f t="shared" si="1"/>
        <v>0</v>
      </c>
      <c r="BU48" s="2">
        <f t="shared" si="2"/>
        <v>0</v>
      </c>
      <c r="BV48" s="2">
        <f t="shared" si="3"/>
        <v>8</v>
      </c>
      <c r="BW48" s="2">
        <f t="shared" si="4"/>
        <v>0</v>
      </c>
    </row>
    <row r="49" spans="1:75">
      <c r="A49" s="12" t="s">
        <v>125</v>
      </c>
      <c r="BR49" s="2">
        <f t="shared" si="0"/>
        <v>0</v>
      </c>
      <c r="BT49" s="2">
        <f t="shared" si="1"/>
        <v>0</v>
      </c>
      <c r="BU49" s="2">
        <f t="shared" si="2"/>
        <v>0</v>
      </c>
      <c r="BV49" s="2">
        <f t="shared" si="3"/>
        <v>8</v>
      </c>
      <c r="BW49" s="2">
        <f t="shared" si="4"/>
        <v>0</v>
      </c>
    </row>
    <row r="50" spans="1:75">
      <c r="A50" s="12" t="s">
        <v>126</v>
      </c>
      <c r="BR50" s="2">
        <f t="shared" si="0"/>
        <v>0</v>
      </c>
      <c r="BT50" s="2">
        <f t="shared" si="1"/>
        <v>0</v>
      </c>
      <c r="BU50" s="2">
        <f t="shared" si="2"/>
        <v>0</v>
      </c>
      <c r="BV50" s="2">
        <f t="shared" si="3"/>
        <v>8</v>
      </c>
      <c r="BW50" s="2">
        <f t="shared" si="4"/>
        <v>0</v>
      </c>
    </row>
    <row r="51" spans="1:75">
      <c r="A51" s="14" t="s">
        <v>127</v>
      </c>
      <c r="BR51" s="2">
        <f t="shared" si="0"/>
        <v>0</v>
      </c>
      <c r="BT51" s="2">
        <f t="shared" si="1"/>
        <v>0</v>
      </c>
      <c r="BU51" s="2">
        <f t="shared" si="2"/>
        <v>0</v>
      </c>
      <c r="BV51" s="2">
        <f t="shared" si="3"/>
        <v>8</v>
      </c>
      <c r="BW51" s="2">
        <f t="shared" si="4"/>
        <v>0</v>
      </c>
    </row>
    <row r="52" spans="1:75">
      <c r="A52" s="12" t="s">
        <v>128</v>
      </c>
      <c r="BR52" s="2">
        <f t="shared" si="0"/>
        <v>0</v>
      </c>
      <c r="BT52" s="2">
        <f t="shared" si="1"/>
        <v>0</v>
      </c>
      <c r="BU52" s="2">
        <f t="shared" si="2"/>
        <v>0</v>
      </c>
      <c r="BV52" s="2">
        <f t="shared" si="3"/>
        <v>8</v>
      </c>
      <c r="BW52" s="2">
        <f t="shared" si="4"/>
        <v>0</v>
      </c>
    </row>
    <row r="53" spans="1:75">
      <c r="A53" s="12" t="s">
        <v>129</v>
      </c>
      <c r="BR53" s="2">
        <f t="shared" si="0"/>
        <v>0</v>
      </c>
      <c r="BT53" s="2">
        <f t="shared" si="1"/>
        <v>0</v>
      </c>
      <c r="BU53" s="2">
        <f t="shared" si="2"/>
        <v>0</v>
      </c>
      <c r="BV53" s="2">
        <f t="shared" si="3"/>
        <v>8</v>
      </c>
      <c r="BW53" s="2">
        <f t="shared" si="4"/>
        <v>0</v>
      </c>
    </row>
    <row r="54" spans="1:75">
      <c r="A54" s="12" t="s">
        <v>130</v>
      </c>
      <c r="BR54" s="2">
        <f t="shared" si="0"/>
        <v>0</v>
      </c>
      <c r="BT54" s="2">
        <f t="shared" si="1"/>
        <v>0</v>
      </c>
      <c r="BU54" s="2">
        <f t="shared" si="2"/>
        <v>0</v>
      </c>
      <c r="BV54" s="2">
        <f t="shared" si="3"/>
        <v>8</v>
      </c>
      <c r="BW54" s="2">
        <f t="shared" si="4"/>
        <v>0</v>
      </c>
    </row>
    <row r="55" spans="1:75">
      <c r="A55" s="13" t="s">
        <v>131</v>
      </c>
      <c r="BR55" s="2">
        <f t="shared" si="0"/>
        <v>0</v>
      </c>
      <c r="BT55" s="2">
        <f t="shared" si="1"/>
        <v>0</v>
      </c>
      <c r="BU55" s="2">
        <f t="shared" si="2"/>
        <v>0</v>
      </c>
      <c r="BV55" s="2">
        <f t="shared" si="3"/>
        <v>8</v>
      </c>
      <c r="BW55" s="2">
        <f t="shared" si="4"/>
        <v>0</v>
      </c>
    </row>
    <row r="56" spans="1:75">
      <c r="A56" s="14" t="s">
        <v>132</v>
      </c>
      <c r="BR56" s="2">
        <f t="shared" si="0"/>
        <v>0</v>
      </c>
      <c r="BT56" s="2">
        <f t="shared" si="1"/>
        <v>0</v>
      </c>
      <c r="BU56" s="2">
        <f t="shared" si="2"/>
        <v>0</v>
      </c>
      <c r="BV56" s="2">
        <f t="shared" si="3"/>
        <v>8</v>
      </c>
      <c r="BW56" s="2">
        <f t="shared" si="4"/>
        <v>0</v>
      </c>
    </row>
    <row r="57" spans="1:75">
      <c r="A57" s="13" t="s">
        <v>133</v>
      </c>
      <c r="BR57" s="2">
        <f t="shared" si="0"/>
        <v>0</v>
      </c>
      <c r="BT57" s="2">
        <f t="shared" si="1"/>
        <v>0</v>
      </c>
      <c r="BU57" s="2">
        <f t="shared" si="2"/>
        <v>0</v>
      </c>
      <c r="BV57" s="2">
        <f t="shared" si="3"/>
        <v>8</v>
      </c>
      <c r="BW57" s="2">
        <f t="shared" si="4"/>
        <v>0</v>
      </c>
    </row>
    <row r="58" spans="1:75">
      <c r="A58" s="14" t="s">
        <v>134</v>
      </c>
      <c r="BR58" s="2">
        <f t="shared" si="0"/>
        <v>0</v>
      </c>
      <c r="BT58" s="2">
        <f t="shared" si="1"/>
        <v>0</v>
      </c>
      <c r="BU58" s="2">
        <f t="shared" si="2"/>
        <v>0</v>
      </c>
      <c r="BV58" s="2">
        <f t="shared" si="3"/>
        <v>8</v>
      </c>
      <c r="BW58" s="2">
        <f t="shared" si="4"/>
        <v>0</v>
      </c>
    </row>
    <row r="59" spans="1:75">
      <c r="A59" s="19" t="s">
        <v>135</v>
      </c>
      <c r="BR59" s="2">
        <f t="shared" si="0"/>
        <v>0</v>
      </c>
      <c r="BT59" s="2">
        <f t="shared" si="1"/>
        <v>0</v>
      </c>
      <c r="BU59" s="2">
        <f t="shared" si="2"/>
        <v>0</v>
      </c>
      <c r="BV59" s="2">
        <f t="shared" si="3"/>
        <v>8</v>
      </c>
      <c r="BW59" s="2">
        <f t="shared" si="4"/>
        <v>0</v>
      </c>
    </row>
    <row r="60" spans="1:75">
      <c r="A60" s="19" t="s">
        <v>136</v>
      </c>
      <c r="BR60" s="2">
        <f t="shared" si="0"/>
        <v>0</v>
      </c>
      <c r="BT60" s="2">
        <f t="shared" si="1"/>
        <v>0</v>
      </c>
      <c r="BU60" s="2">
        <f t="shared" si="2"/>
        <v>0</v>
      </c>
      <c r="BV60" s="2">
        <f t="shared" si="3"/>
        <v>8</v>
      </c>
      <c r="BW60" s="2">
        <f t="shared" si="4"/>
        <v>0</v>
      </c>
    </row>
    <row r="61" spans="1:75">
      <c r="A61" s="19" t="s">
        <v>137</v>
      </c>
      <c r="BR61" s="2">
        <f t="shared" si="0"/>
        <v>0</v>
      </c>
      <c r="BT61" s="2">
        <f t="shared" si="1"/>
        <v>0</v>
      </c>
      <c r="BU61" s="2">
        <f t="shared" si="2"/>
        <v>0</v>
      </c>
      <c r="BV61" s="2">
        <f t="shared" si="3"/>
        <v>8</v>
      </c>
      <c r="BW61" s="2">
        <f t="shared" si="4"/>
        <v>0</v>
      </c>
    </row>
    <row r="62" spans="1:75">
      <c r="A62" s="19" t="s">
        <v>138</v>
      </c>
      <c r="BR62" s="2">
        <f t="shared" si="0"/>
        <v>0</v>
      </c>
      <c r="BT62" s="2">
        <f t="shared" si="1"/>
        <v>0</v>
      </c>
      <c r="BU62" s="2">
        <f t="shared" si="2"/>
        <v>0</v>
      </c>
      <c r="BV62" s="2">
        <f t="shared" si="3"/>
        <v>8</v>
      </c>
      <c r="BW62" s="2">
        <f t="shared" si="4"/>
        <v>0</v>
      </c>
    </row>
    <row r="63" spans="1:75">
      <c r="A63" s="19" t="s">
        <v>139</v>
      </c>
      <c r="BR63" s="2">
        <f t="shared" si="0"/>
        <v>0</v>
      </c>
      <c r="BT63" s="2">
        <f t="shared" si="1"/>
        <v>0</v>
      </c>
      <c r="BU63" s="2">
        <f t="shared" si="2"/>
        <v>0</v>
      </c>
      <c r="BV63" s="2">
        <f t="shared" si="3"/>
        <v>8</v>
      </c>
      <c r="BW63" s="2">
        <f t="shared" si="4"/>
        <v>0</v>
      </c>
    </row>
    <row r="64" spans="1:75">
      <c r="A64" s="20" t="s">
        <v>140</v>
      </c>
      <c r="BR64" s="2">
        <f t="shared" si="0"/>
        <v>0</v>
      </c>
      <c r="BT64" s="2">
        <f t="shared" si="1"/>
        <v>0</v>
      </c>
      <c r="BU64" s="2">
        <f t="shared" si="2"/>
        <v>0</v>
      </c>
      <c r="BV64" s="2">
        <f t="shared" si="3"/>
        <v>8</v>
      </c>
      <c r="BW64" s="2">
        <f t="shared" si="4"/>
        <v>0</v>
      </c>
    </row>
    <row r="65" spans="1:75">
      <c r="A65" s="20" t="s">
        <v>141</v>
      </c>
      <c r="BR65" s="2">
        <f t="shared" si="0"/>
        <v>0</v>
      </c>
      <c r="BT65" s="2">
        <f t="shared" si="1"/>
        <v>0</v>
      </c>
      <c r="BU65" s="2">
        <f t="shared" si="2"/>
        <v>0</v>
      </c>
      <c r="BV65" s="2">
        <f t="shared" si="3"/>
        <v>8</v>
      </c>
      <c r="BW65" s="2">
        <f t="shared" si="4"/>
        <v>0</v>
      </c>
    </row>
    <row r="66" spans="1:75">
      <c r="A66" s="20" t="s">
        <v>142</v>
      </c>
      <c r="BR66" s="2">
        <f t="shared" si="0"/>
        <v>0</v>
      </c>
      <c r="BT66" s="2">
        <f t="shared" si="1"/>
        <v>0</v>
      </c>
      <c r="BU66" s="2">
        <f t="shared" si="2"/>
        <v>0</v>
      </c>
      <c r="BV66" s="2">
        <f t="shared" si="3"/>
        <v>8</v>
      </c>
      <c r="BW66" s="2">
        <f t="shared" si="4"/>
        <v>0</v>
      </c>
    </row>
    <row r="67" spans="1:75">
      <c r="A67" s="19" t="s">
        <v>143</v>
      </c>
      <c r="BR67" s="2">
        <f t="shared" si="0"/>
        <v>0</v>
      </c>
      <c r="BT67" s="2">
        <f t="shared" si="1"/>
        <v>0</v>
      </c>
      <c r="BU67" s="2">
        <f t="shared" si="2"/>
        <v>0</v>
      </c>
      <c r="BV67" s="2">
        <f t="shared" si="3"/>
        <v>8</v>
      </c>
      <c r="BW67" s="2">
        <f t="shared" si="4"/>
        <v>0</v>
      </c>
    </row>
    <row r="68" spans="1:75">
      <c r="A68" s="19" t="s">
        <v>144</v>
      </c>
      <c r="BR68" s="2">
        <f t="shared" ref="BR68:BR131" si="5">$I68*($AZ68/100)+$L68*($BA68/100)</f>
        <v>0</v>
      </c>
      <c r="BT68" s="2">
        <f t="shared" ref="BT68:BT131" si="6">$I68*($BG68/100)+$M68*($BF68/100)</f>
        <v>0</v>
      </c>
      <c r="BU68" s="2">
        <f t="shared" ref="BU68:BU131" si="7">$L68*($BD68/100)+$J68*($BE68/100)</f>
        <v>0</v>
      </c>
      <c r="BV68" s="2">
        <f t="shared" ref="BV68:BV131" si="8">K68*(BI68/100)+J68*(BH68/100)+8</f>
        <v>8</v>
      </c>
      <c r="BW68" s="2">
        <f t="shared" ref="BW68:BW131" si="9">$K68*($BB68/100)+$M68*($BC68/100)</f>
        <v>0</v>
      </c>
    </row>
    <row r="69" spans="1:75">
      <c r="A69" s="19" t="s">
        <v>145</v>
      </c>
      <c r="BR69" s="2">
        <f t="shared" si="5"/>
        <v>0</v>
      </c>
      <c r="BT69" s="2">
        <f t="shared" si="6"/>
        <v>0</v>
      </c>
      <c r="BU69" s="2">
        <f t="shared" si="7"/>
        <v>0</v>
      </c>
      <c r="BV69" s="2">
        <f t="shared" si="8"/>
        <v>8</v>
      </c>
      <c r="BW69" s="2">
        <f t="shared" si="9"/>
        <v>0</v>
      </c>
    </row>
    <row r="70" spans="1:75">
      <c r="A70" s="19" t="s">
        <v>146</v>
      </c>
      <c r="BR70" s="2">
        <f t="shared" si="5"/>
        <v>0</v>
      </c>
      <c r="BT70" s="2">
        <f t="shared" si="6"/>
        <v>0</v>
      </c>
      <c r="BU70" s="2">
        <f t="shared" si="7"/>
        <v>0</v>
      </c>
      <c r="BV70" s="2">
        <f t="shared" si="8"/>
        <v>8</v>
      </c>
      <c r="BW70" s="2">
        <f t="shared" si="9"/>
        <v>0</v>
      </c>
    </row>
    <row r="71" spans="1:75">
      <c r="A71" s="19" t="s">
        <v>147</v>
      </c>
      <c r="BR71" s="2">
        <f t="shared" si="5"/>
        <v>0</v>
      </c>
      <c r="BT71" s="2">
        <f t="shared" si="6"/>
        <v>0</v>
      </c>
      <c r="BU71" s="2">
        <f t="shared" si="7"/>
        <v>0</v>
      </c>
      <c r="BV71" s="2">
        <f t="shared" si="8"/>
        <v>8</v>
      </c>
      <c r="BW71" s="2">
        <f t="shared" si="9"/>
        <v>0</v>
      </c>
    </row>
    <row r="72" spans="1:75">
      <c r="A72" s="19" t="s">
        <v>148</v>
      </c>
      <c r="BR72" s="2">
        <f t="shared" si="5"/>
        <v>0</v>
      </c>
      <c r="BT72" s="2">
        <f t="shared" si="6"/>
        <v>0</v>
      </c>
      <c r="BU72" s="2">
        <f t="shared" si="7"/>
        <v>0</v>
      </c>
      <c r="BV72" s="2">
        <f t="shared" si="8"/>
        <v>8</v>
      </c>
      <c r="BW72" s="2">
        <f t="shared" si="9"/>
        <v>0</v>
      </c>
    </row>
    <row r="73" spans="1:75">
      <c r="A73" s="19" t="s">
        <v>149</v>
      </c>
      <c r="BR73" s="2">
        <f t="shared" si="5"/>
        <v>0</v>
      </c>
      <c r="BT73" s="2">
        <f t="shared" si="6"/>
        <v>0</v>
      </c>
      <c r="BU73" s="2">
        <f t="shared" si="7"/>
        <v>0</v>
      </c>
      <c r="BV73" s="2">
        <f t="shared" si="8"/>
        <v>8</v>
      </c>
      <c r="BW73" s="2">
        <f t="shared" si="9"/>
        <v>0</v>
      </c>
    </row>
    <row r="74" spans="1:75">
      <c r="A74" s="19" t="s">
        <v>150</v>
      </c>
      <c r="BR74" s="2">
        <f t="shared" si="5"/>
        <v>0</v>
      </c>
      <c r="BT74" s="2">
        <f t="shared" si="6"/>
        <v>0</v>
      </c>
      <c r="BU74" s="2">
        <f t="shared" si="7"/>
        <v>0</v>
      </c>
      <c r="BV74" s="2">
        <f t="shared" si="8"/>
        <v>8</v>
      </c>
      <c r="BW74" s="2">
        <f t="shared" si="9"/>
        <v>0</v>
      </c>
    </row>
    <row r="75" spans="1:75">
      <c r="A75" s="19" t="s">
        <v>151</v>
      </c>
      <c r="BR75" s="2">
        <f t="shared" si="5"/>
        <v>0</v>
      </c>
      <c r="BT75" s="2">
        <f t="shared" si="6"/>
        <v>0</v>
      </c>
      <c r="BU75" s="2">
        <f t="shared" si="7"/>
        <v>0</v>
      </c>
      <c r="BV75" s="2">
        <f t="shared" si="8"/>
        <v>8</v>
      </c>
      <c r="BW75" s="2">
        <f t="shared" si="9"/>
        <v>0</v>
      </c>
    </row>
    <row r="76" spans="1:75">
      <c r="A76" s="19" t="s">
        <v>152</v>
      </c>
      <c r="BR76" s="2">
        <f t="shared" si="5"/>
        <v>0</v>
      </c>
      <c r="BT76" s="2">
        <f t="shared" si="6"/>
        <v>0</v>
      </c>
      <c r="BU76" s="2">
        <f t="shared" si="7"/>
        <v>0</v>
      </c>
      <c r="BV76" s="2">
        <f t="shared" si="8"/>
        <v>8</v>
      </c>
      <c r="BW76" s="2">
        <f t="shared" si="9"/>
        <v>0</v>
      </c>
    </row>
    <row r="77" spans="1:75">
      <c r="A77" s="20" t="s">
        <v>153</v>
      </c>
      <c r="BR77" s="2">
        <f t="shared" si="5"/>
        <v>0</v>
      </c>
      <c r="BT77" s="2">
        <f t="shared" si="6"/>
        <v>0</v>
      </c>
      <c r="BU77" s="2">
        <f t="shared" si="7"/>
        <v>0</v>
      </c>
      <c r="BV77" s="2">
        <f t="shared" si="8"/>
        <v>8</v>
      </c>
      <c r="BW77" s="2">
        <f t="shared" si="9"/>
        <v>0</v>
      </c>
    </row>
    <row r="78" spans="1:75">
      <c r="A78" s="20" t="s">
        <v>154</v>
      </c>
      <c r="BR78" s="2">
        <f t="shared" si="5"/>
        <v>0</v>
      </c>
      <c r="BT78" s="2">
        <f t="shared" si="6"/>
        <v>0</v>
      </c>
      <c r="BU78" s="2">
        <f t="shared" si="7"/>
        <v>0</v>
      </c>
      <c r="BV78" s="2">
        <f t="shared" si="8"/>
        <v>8</v>
      </c>
      <c r="BW78" s="2">
        <f t="shared" si="9"/>
        <v>0</v>
      </c>
    </row>
    <row r="79" spans="1:75">
      <c r="A79" s="20" t="s">
        <v>155</v>
      </c>
      <c r="BR79" s="2">
        <f t="shared" si="5"/>
        <v>0</v>
      </c>
      <c r="BT79" s="2">
        <f t="shared" si="6"/>
        <v>0</v>
      </c>
      <c r="BU79" s="2">
        <f t="shared" si="7"/>
        <v>0</v>
      </c>
      <c r="BV79" s="2">
        <f t="shared" si="8"/>
        <v>8</v>
      </c>
      <c r="BW79" s="2">
        <f t="shared" si="9"/>
        <v>0</v>
      </c>
    </row>
    <row r="80" spans="1:75">
      <c r="A80" s="20" t="s">
        <v>156</v>
      </c>
      <c r="BR80" s="2">
        <f t="shared" si="5"/>
        <v>0</v>
      </c>
      <c r="BT80" s="2">
        <f t="shared" si="6"/>
        <v>0</v>
      </c>
      <c r="BU80" s="2">
        <f t="shared" si="7"/>
        <v>0</v>
      </c>
      <c r="BV80" s="2">
        <f t="shared" si="8"/>
        <v>8</v>
      </c>
      <c r="BW80" s="2">
        <f t="shared" si="9"/>
        <v>0</v>
      </c>
    </row>
    <row r="81" spans="1:75">
      <c r="A81" s="20" t="s">
        <v>157</v>
      </c>
      <c r="BR81" s="2">
        <f t="shared" si="5"/>
        <v>0</v>
      </c>
      <c r="BT81" s="2">
        <f t="shared" si="6"/>
        <v>0</v>
      </c>
      <c r="BU81" s="2">
        <f t="shared" si="7"/>
        <v>0</v>
      </c>
      <c r="BV81" s="2">
        <f t="shared" si="8"/>
        <v>8</v>
      </c>
      <c r="BW81" s="2">
        <f t="shared" si="9"/>
        <v>0</v>
      </c>
    </row>
    <row r="82" spans="1:75">
      <c r="A82" s="20" t="s">
        <v>158</v>
      </c>
      <c r="BR82" s="2">
        <f t="shared" si="5"/>
        <v>0</v>
      </c>
      <c r="BT82" s="2">
        <f t="shared" si="6"/>
        <v>0</v>
      </c>
      <c r="BU82" s="2">
        <f t="shared" si="7"/>
        <v>0</v>
      </c>
      <c r="BV82" s="2">
        <f t="shared" si="8"/>
        <v>8</v>
      </c>
      <c r="BW82" s="2">
        <f t="shared" si="9"/>
        <v>0</v>
      </c>
    </row>
    <row r="83" spans="1:75">
      <c r="A83" s="20" t="s">
        <v>159</v>
      </c>
      <c r="BR83" s="2">
        <f t="shared" si="5"/>
        <v>0</v>
      </c>
      <c r="BT83" s="2">
        <f t="shared" si="6"/>
        <v>0</v>
      </c>
      <c r="BU83" s="2">
        <f t="shared" si="7"/>
        <v>0</v>
      </c>
      <c r="BV83" s="2">
        <f t="shared" si="8"/>
        <v>8</v>
      </c>
      <c r="BW83" s="2">
        <f t="shared" si="9"/>
        <v>0</v>
      </c>
    </row>
    <row r="84" spans="1:75">
      <c r="A84" s="20" t="s">
        <v>160</v>
      </c>
      <c r="BR84" s="2">
        <f t="shared" si="5"/>
        <v>0</v>
      </c>
      <c r="BT84" s="2">
        <f t="shared" si="6"/>
        <v>0</v>
      </c>
      <c r="BU84" s="2">
        <f t="shared" si="7"/>
        <v>0</v>
      </c>
      <c r="BV84" s="2">
        <f t="shared" si="8"/>
        <v>8</v>
      </c>
      <c r="BW84" s="2">
        <f t="shared" si="9"/>
        <v>0</v>
      </c>
    </row>
    <row r="85" spans="1:75">
      <c r="A85" s="19" t="s">
        <v>161</v>
      </c>
      <c r="BR85" s="2">
        <f t="shared" si="5"/>
        <v>0</v>
      </c>
      <c r="BT85" s="2">
        <f t="shared" si="6"/>
        <v>0</v>
      </c>
      <c r="BU85" s="2">
        <f t="shared" si="7"/>
        <v>0</v>
      </c>
      <c r="BV85" s="2">
        <f t="shared" si="8"/>
        <v>8</v>
      </c>
      <c r="BW85" s="2">
        <f t="shared" si="9"/>
        <v>0</v>
      </c>
    </row>
    <row r="86" spans="1:75">
      <c r="A86" s="19" t="s">
        <v>162</v>
      </c>
      <c r="BR86" s="2">
        <f t="shared" si="5"/>
        <v>0</v>
      </c>
      <c r="BT86" s="2">
        <f t="shared" si="6"/>
        <v>0</v>
      </c>
      <c r="BU86" s="2">
        <f t="shared" si="7"/>
        <v>0</v>
      </c>
      <c r="BV86" s="2">
        <f t="shared" si="8"/>
        <v>8</v>
      </c>
      <c r="BW86" s="2">
        <f t="shared" si="9"/>
        <v>0</v>
      </c>
    </row>
    <row r="87" spans="1:75">
      <c r="A87" s="19" t="s">
        <v>163</v>
      </c>
      <c r="BR87" s="2">
        <f t="shared" si="5"/>
        <v>0</v>
      </c>
      <c r="BT87" s="2">
        <f t="shared" si="6"/>
        <v>0</v>
      </c>
      <c r="BU87" s="2">
        <f t="shared" si="7"/>
        <v>0</v>
      </c>
      <c r="BV87" s="2">
        <f t="shared" si="8"/>
        <v>8</v>
      </c>
      <c r="BW87" s="2">
        <f t="shared" si="9"/>
        <v>0</v>
      </c>
    </row>
    <row r="88" spans="1:75">
      <c r="A88" s="19" t="s">
        <v>164</v>
      </c>
      <c r="BR88" s="2">
        <f t="shared" si="5"/>
        <v>0</v>
      </c>
      <c r="BT88" s="2">
        <f t="shared" si="6"/>
        <v>0</v>
      </c>
      <c r="BU88" s="2">
        <f t="shared" si="7"/>
        <v>0</v>
      </c>
      <c r="BV88" s="2">
        <f t="shared" si="8"/>
        <v>8</v>
      </c>
      <c r="BW88" s="2">
        <f t="shared" si="9"/>
        <v>0</v>
      </c>
    </row>
    <row r="89" spans="1:75">
      <c r="A89" s="20" t="s">
        <v>165</v>
      </c>
      <c r="BR89" s="2">
        <f t="shared" si="5"/>
        <v>0</v>
      </c>
      <c r="BT89" s="2">
        <f t="shared" si="6"/>
        <v>0</v>
      </c>
      <c r="BU89" s="2">
        <f t="shared" si="7"/>
        <v>0</v>
      </c>
      <c r="BV89" s="2">
        <f t="shared" si="8"/>
        <v>8</v>
      </c>
      <c r="BW89" s="2">
        <f t="shared" si="9"/>
        <v>0</v>
      </c>
    </row>
    <row r="90" spans="1:75">
      <c r="A90" s="20" t="s">
        <v>166</v>
      </c>
      <c r="BR90" s="2">
        <f t="shared" si="5"/>
        <v>0</v>
      </c>
      <c r="BT90" s="2">
        <f t="shared" si="6"/>
        <v>0</v>
      </c>
      <c r="BU90" s="2">
        <f t="shared" si="7"/>
        <v>0</v>
      </c>
      <c r="BV90" s="2">
        <f t="shared" si="8"/>
        <v>8</v>
      </c>
      <c r="BW90" s="2">
        <f t="shared" si="9"/>
        <v>0</v>
      </c>
    </row>
    <row r="91" spans="1:75">
      <c r="A91" s="20" t="s">
        <v>167</v>
      </c>
      <c r="BR91" s="2">
        <f t="shared" si="5"/>
        <v>0</v>
      </c>
      <c r="BT91" s="2">
        <f t="shared" si="6"/>
        <v>0</v>
      </c>
      <c r="BU91" s="2">
        <f t="shared" si="7"/>
        <v>0</v>
      </c>
      <c r="BV91" s="2">
        <f t="shared" si="8"/>
        <v>8</v>
      </c>
      <c r="BW91" s="2">
        <f t="shared" si="9"/>
        <v>0</v>
      </c>
    </row>
    <row r="92" spans="1:75">
      <c r="A92" s="20" t="s">
        <v>168</v>
      </c>
      <c r="BR92" s="2">
        <f t="shared" si="5"/>
        <v>0</v>
      </c>
      <c r="BT92" s="2">
        <f t="shared" si="6"/>
        <v>0</v>
      </c>
      <c r="BU92" s="2">
        <f t="shared" si="7"/>
        <v>0</v>
      </c>
      <c r="BV92" s="2">
        <f t="shared" si="8"/>
        <v>8</v>
      </c>
      <c r="BW92" s="2">
        <f t="shared" si="9"/>
        <v>0</v>
      </c>
    </row>
    <row r="93" spans="1:75">
      <c r="A93" s="19" t="s">
        <v>169</v>
      </c>
      <c r="BR93" s="2">
        <f t="shared" si="5"/>
        <v>0</v>
      </c>
      <c r="BT93" s="2">
        <f t="shared" si="6"/>
        <v>0</v>
      </c>
      <c r="BU93" s="2">
        <f t="shared" si="7"/>
        <v>0</v>
      </c>
      <c r="BV93" s="2">
        <f t="shared" si="8"/>
        <v>8</v>
      </c>
      <c r="BW93" s="2">
        <f t="shared" si="9"/>
        <v>0</v>
      </c>
    </row>
    <row r="94" spans="1:75">
      <c r="A94" s="19" t="s">
        <v>170</v>
      </c>
      <c r="BR94" s="2">
        <f t="shared" si="5"/>
        <v>0</v>
      </c>
      <c r="BT94" s="2">
        <f t="shared" si="6"/>
        <v>0</v>
      </c>
      <c r="BU94" s="2">
        <f t="shared" si="7"/>
        <v>0</v>
      </c>
      <c r="BV94" s="2">
        <f t="shared" si="8"/>
        <v>8</v>
      </c>
      <c r="BW94" s="2">
        <f t="shared" si="9"/>
        <v>0</v>
      </c>
    </row>
    <row r="95" spans="1:75">
      <c r="A95" s="19" t="s">
        <v>171</v>
      </c>
      <c r="BR95" s="2">
        <f t="shared" si="5"/>
        <v>0</v>
      </c>
      <c r="BT95" s="2">
        <f t="shared" si="6"/>
        <v>0</v>
      </c>
      <c r="BU95" s="2">
        <f t="shared" si="7"/>
        <v>0</v>
      </c>
      <c r="BV95" s="2">
        <f t="shared" si="8"/>
        <v>8</v>
      </c>
      <c r="BW95" s="2">
        <f t="shared" si="9"/>
        <v>0</v>
      </c>
    </row>
    <row r="96" spans="1:75">
      <c r="A96" s="29" t="s">
        <v>172</v>
      </c>
      <c r="BR96" s="2">
        <f t="shared" si="5"/>
        <v>0</v>
      </c>
      <c r="BT96" s="2">
        <f t="shared" si="6"/>
        <v>0</v>
      </c>
      <c r="BU96" s="2">
        <f t="shared" si="7"/>
        <v>0</v>
      </c>
      <c r="BV96" s="2">
        <f t="shared" si="8"/>
        <v>8</v>
      </c>
      <c r="BW96" s="2">
        <f t="shared" si="9"/>
        <v>0</v>
      </c>
    </row>
    <row r="97" spans="1:75">
      <c r="A97" s="29" t="s">
        <v>173</v>
      </c>
      <c r="BR97" s="2">
        <f t="shared" si="5"/>
        <v>0</v>
      </c>
      <c r="BT97" s="2">
        <f t="shared" si="6"/>
        <v>0</v>
      </c>
      <c r="BU97" s="2">
        <f t="shared" si="7"/>
        <v>0</v>
      </c>
      <c r="BV97" s="2">
        <f t="shared" si="8"/>
        <v>8</v>
      </c>
      <c r="BW97" s="2">
        <f t="shared" si="9"/>
        <v>0</v>
      </c>
    </row>
    <row r="98" spans="1:75">
      <c r="A98" s="29" t="s">
        <v>174</v>
      </c>
      <c r="BR98" s="2">
        <f t="shared" si="5"/>
        <v>0</v>
      </c>
      <c r="BT98" s="2">
        <f t="shared" si="6"/>
        <v>0</v>
      </c>
      <c r="BU98" s="2">
        <f t="shared" si="7"/>
        <v>0</v>
      </c>
      <c r="BV98" s="2">
        <f t="shared" si="8"/>
        <v>8</v>
      </c>
      <c r="BW98" s="2">
        <f t="shared" si="9"/>
        <v>0</v>
      </c>
    </row>
    <row r="99" spans="1:75">
      <c r="A99" s="29" t="s">
        <v>175</v>
      </c>
      <c r="BR99" s="2">
        <f t="shared" si="5"/>
        <v>0</v>
      </c>
      <c r="BT99" s="2">
        <f t="shared" si="6"/>
        <v>0</v>
      </c>
      <c r="BU99" s="2">
        <f t="shared" si="7"/>
        <v>0</v>
      </c>
      <c r="BV99" s="2">
        <f t="shared" si="8"/>
        <v>8</v>
      </c>
      <c r="BW99" s="2">
        <f t="shared" si="9"/>
        <v>0</v>
      </c>
    </row>
    <row r="100" spans="1:75">
      <c r="A100" s="30" t="s">
        <v>176</v>
      </c>
      <c r="BR100" s="2">
        <f t="shared" si="5"/>
        <v>0</v>
      </c>
      <c r="BT100" s="2">
        <f t="shared" si="6"/>
        <v>0</v>
      </c>
      <c r="BU100" s="2">
        <f t="shared" si="7"/>
        <v>0</v>
      </c>
      <c r="BV100" s="2">
        <f t="shared" si="8"/>
        <v>8</v>
      </c>
      <c r="BW100" s="2">
        <f t="shared" si="9"/>
        <v>0</v>
      </c>
    </row>
    <row r="101" spans="1:75">
      <c r="A101" s="30" t="s">
        <v>177</v>
      </c>
      <c r="BR101" s="2">
        <f t="shared" si="5"/>
        <v>0</v>
      </c>
      <c r="BT101" s="2">
        <f t="shared" si="6"/>
        <v>0</v>
      </c>
      <c r="BU101" s="2">
        <f t="shared" si="7"/>
        <v>0</v>
      </c>
      <c r="BV101" s="2">
        <f t="shared" si="8"/>
        <v>8</v>
      </c>
      <c r="BW101" s="2">
        <f t="shared" si="9"/>
        <v>0</v>
      </c>
    </row>
    <row r="102" spans="1:75">
      <c r="A102" s="30" t="s">
        <v>178</v>
      </c>
      <c r="BR102" s="2">
        <f t="shared" si="5"/>
        <v>0</v>
      </c>
      <c r="BT102" s="2">
        <f t="shared" si="6"/>
        <v>0</v>
      </c>
      <c r="BU102" s="2">
        <f t="shared" si="7"/>
        <v>0</v>
      </c>
      <c r="BV102" s="2">
        <f t="shared" si="8"/>
        <v>8</v>
      </c>
      <c r="BW102" s="2">
        <f t="shared" si="9"/>
        <v>0</v>
      </c>
    </row>
    <row r="103" spans="1:75">
      <c r="A103" s="30" t="s">
        <v>179</v>
      </c>
      <c r="BR103" s="2">
        <f t="shared" si="5"/>
        <v>0</v>
      </c>
      <c r="BT103" s="2">
        <f t="shared" si="6"/>
        <v>0</v>
      </c>
      <c r="BU103" s="2">
        <f t="shared" si="7"/>
        <v>0</v>
      </c>
      <c r="BV103" s="2">
        <f t="shared" si="8"/>
        <v>8</v>
      </c>
      <c r="BW103" s="2">
        <f t="shared" si="9"/>
        <v>0</v>
      </c>
    </row>
    <row r="104" spans="1:75">
      <c r="A104" s="30" t="s">
        <v>180</v>
      </c>
      <c r="BR104" s="2">
        <f t="shared" si="5"/>
        <v>0</v>
      </c>
      <c r="BT104" s="2">
        <f t="shared" si="6"/>
        <v>0</v>
      </c>
      <c r="BU104" s="2">
        <f t="shared" si="7"/>
        <v>0</v>
      </c>
      <c r="BV104" s="2">
        <f t="shared" si="8"/>
        <v>8</v>
      </c>
      <c r="BW104" s="2">
        <f t="shared" si="9"/>
        <v>0</v>
      </c>
    </row>
    <row r="105" spans="1:75">
      <c r="A105" s="30" t="s">
        <v>181</v>
      </c>
      <c r="BR105" s="2">
        <f t="shared" si="5"/>
        <v>0</v>
      </c>
      <c r="BT105" s="2">
        <f t="shared" si="6"/>
        <v>0</v>
      </c>
      <c r="BU105" s="2">
        <f t="shared" si="7"/>
        <v>0</v>
      </c>
      <c r="BV105" s="2">
        <f t="shared" si="8"/>
        <v>8</v>
      </c>
      <c r="BW105" s="2">
        <f t="shared" si="9"/>
        <v>0</v>
      </c>
    </row>
    <row r="106" spans="1:75">
      <c r="A106" s="30" t="s">
        <v>182</v>
      </c>
      <c r="BR106" s="2">
        <f t="shared" si="5"/>
        <v>0</v>
      </c>
      <c r="BT106" s="2">
        <f t="shared" si="6"/>
        <v>0</v>
      </c>
      <c r="BU106" s="2">
        <f t="shared" si="7"/>
        <v>0</v>
      </c>
      <c r="BV106" s="2">
        <f t="shared" si="8"/>
        <v>8</v>
      </c>
      <c r="BW106" s="2">
        <f t="shared" si="9"/>
        <v>0</v>
      </c>
    </row>
    <row r="107" spans="1:75">
      <c r="A107" s="30" t="s">
        <v>183</v>
      </c>
      <c r="BR107" s="2">
        <f t="shared" si="5"/>
        <v>0</v>
      </c>
      <c r="BT107" s="2">
        <f t="shared" si="6"/>
        <v>0</v>
      </c>
      <c r="BU107" s="2">
        <f t="shared" si="7"/>
        <v>0</v>
      </c>
      <c r="BV107" s="2">
        <f t="shared" si="8"/>
        <v>8</v>
      </c>
      <c r="BW107" s="2">
        <f t="shared" si="9"/>
        <v>0</v>
      </c>
    </row>
    <row r="108" spans="1:75">
      <c r="A108" s="30" t="s">
        <v>184</v>
      </c>
      <c r="BR108" s="2">
        <f t="shared" si="5"/>
        <v>0</v>
      </c>
      <c r="BT108" s="2">
        <f t="shared" si="6"/>
        <v>0</v>
      </c>
      <c r="BU108" s="2">
        <f t="shared" si="7"/>
        <v>0</v>
      </c>
      <c r="BV108" s="2">
        <f t="shared" si="8"/>
        <v>8</v>
      </c>
      <c r="BW108" s="2">
        <f t="shared" si="9"/>
        <v>0</v>
      </c>
    </row>
    <row r="109" spans="1:75">
      <c r="A109" s="29" t="s">
        <v>185</v>
      </c>
      <c r="BR109" s="2">
        <f t="shared" si="5"/>
        <v>0</v>
      </c>
      <c r="BT109" s="2">
        <f t="shared" si="6"/>
        <v>0</v>
      </c>
      <c r="BU109" s="2">
        <f t="shared" si="7"/>
        <v>0</v>
      </c>
      <c r="BV109" s="2">
        <f t="shared" si="8"/>
        <v>8</v>
      </c>
      <c r="BW109" s="2">
        <f t="shared" si="9"/>
        <v>0</v>
      </c>
    </row>
    <row r="110" spans="1:75">
      <c r="A110" s="29" t="s">
        <v>186</v>
      </c>
      <c r="BR110" s="2">
        <f t="shared" si="5"/>
        <v>0</v>
      </c>
      <c r="BT110" s="2">
        <f t="shared" si="6"/>
        <v>0</v>
      </c>
      <c r="BU110" s="2">
        <f t="shared" si="7"/>
        <v>0</v>
      </c>
      <c r="BV110" s="2">
        <f t="shared" si="8"/>
        <v>8</v>
      </c>
      <c r="BW110" s="2">
        <f t="shared" si="9"/>
        <v>0</v>
      </c>
    </row>
    <row r="111" spans="1:75">
      <c r="A111" s="29" t="s">
        <v>187</v>
      </c>
      <c r="BR111" s="2">
        <f t="shared" si="5"/>
        <v>0</v>
      </c>
      <c r="BT111" s="2">
        <f t="shared" si="6"/>
        <v>0</v>
      </c>
      <c r="BU111" s="2">
        <f t="shared" si="7"/>
        <v>0</v>
      </c>
      <c r="BV111" s="2">
        <f t="shared" si="8"/>
        <v>8</v>
      </c>
      <c r="BW111" s="2">
        <f t="shared" si="9"/>
        <v>0</v>
      </c>
    </row>
    <row r="112" spans="1:75">
      <c r="A112" s="29" t="s">
        <v>188</v>
      </c>
      <c r="BR112" s="2">
        <f t="shared" si="5"/>
        <v>0</v>
      </c>
      <c r="BT112" s="2">
        <f t="shared" si="6"/>
        <v>0</v>
      </c>
      <c r="BU112" s="2">
        <f t="shared" si="7"/>
        <v>0</v>
      </c>
      <c r="BV112" s="2">
        <f t="shared" si="8"/>
        <v>8</v>
      </c>
      <c r="BW112" s="2">
        <f t="shared" si="9"/>
        <v>0</v>
      </c>
    </row>
    <row r="113" spans="1:75">
      <c r="A113" s="29" t="s">
        <v>189</v>
      </c>
      <c r="BR113" s="2">
        <f t="shared" si="5"/>
        <v>0</v>
      </c>
      <c r="BT113" s="2">
        <f t="shared" si="6"/>
        <v>0</v>
      </c>
      <c r="BU113" s="2">
        <f t="shared" si="7"/>
        <v>0</v>
      </c>
      <c r="BV113" s="2">
        <f t="shared" si="8"/>
        <v>8</v>
      </c>
      <c r="BW113" s="2">
        <f t="shared" si="9"/>
        <v>0</v>
      </c>
    </row>
    <row r="114" spans="1:75">
      <c r="A114" s="29" t="s">
        <v>190</v>
      </c>
      <c r="BR114" s="2">
        <f t="shared" si="5"/>
        <v>0</v>
      </c>
      <c r="BT114" s="2">
        <f t="shared" si="6"/>
        <v>0</v>
      </c>
      <c r="BU114" s="2">
        <f t="shared" si="7"/>
        <v>0</v>
      </c>
      <c r="BV114" s="2">
        <f t="shared" si="8"/>
        <v>8</v>
      </c>
      <c r="BW114" s="2">
        <f t="shared" si="9"/>
        <v>0</v>
      </c>
    </row>
    <row r="115" spans="1:75">
      <c r="A115" s="30" t="s">
        <v>191</v>
      </c>
      <c r="BR115" s="2">
        <f t="shared" si="5"/>
        <v>0</v>
      </c>
      <c r="BT115" s="2">
        <f t="shared" si="6"/>
        <v>0</v>
      </c>
      <c r="BU115" s="2">
        <f t="shared" si="7"/>
        <v>0</v>
      </c>
      <c r="BV115" s="2">
        <f t="shared" si="8"/>
        <v>8</v>
      </c>
      <c r="BW115" s="2">
        <f t="shared" si="9"/>
        <v>0</v>
      </c>
    </row>
    <row r="116" spans="1:75">
      <c r="A116" s="30" t="s">
        <v>192</v>
      </c>
      <c r="BR116" s="2">
        <f t="shared" si="5"/>
        <v>0</v>
      </c>
      <c r="BT116" s="2">
        <f t="shared" si="6"/>
        <v>0</v>
      </c>
      <c r="BU116" s="2">
        <f t="shared" si="7"/>
        <v>0</v>
      </c>
      <c r="BV116" s="2">
        <f t="shared" si="8"/>
        <v>8</v>
      </c>
      <c r="BW116" s="2">
        <f t="shared" si="9"/>
        <v>0</v>
      </c>
    </row>
    <row r="117" spans="1:75">
      <c r="A117" s="30" t="s">
        <v>193</v>
      </c>
      <c r="BR117" s="2">
        <f t="shared" si="5"/>
        <v>0</v>
      </c>
      <c r="BT117" s="2">
        <f t="shared" si="6"/>
        <v>0</v>
      </c>
      <c r="BU117" s="2">
        <f t="shared" si="7"/>
        <v>0</v>
      </c>
      <c r="BV117" s="2">
        <f t="shared" si="8"/>
        <v>8</v>
      </c>
      <c r="BW117" s="2">
        <f t="shared" si="9"/>
        <v>0</v>
      </c>
    </row>
    <row r="118" spans="1:75">
      <c r="A118" s="30" t="s">
        <v>194</v>
      </c>
      <c r="BR118" s="2">
        <f t="shared" si="5"/>
        <v>0</v>
      </c>
      <c r="BT118" s="2">
        <f t="shared" si="6"/>
        <v>0</v>
      </c>
      <c r="BU118" s="2">
        <f t="shared" si="7"/>
        <v>0</v>
      </c>
      <c r="BV118" s="2">
        <f t="shared" si="8"/>
        <v>8</v>
      </c>
      <c r="BW118" s="2">
        <f t="shared" si="9"/>
        <v>0</v>
      </c>
    </row>
    <row r="119" spans="1:75">
      <c r="A119" s="30" t="s">
        <v>195</v>
      </c>
      <c r="BR119" s="2">
        <f t="shared" si="5"/>
        <v>0</v>
      </c>
      <c r="BT119" s="2">
        <f t="shared" si="6"/>
        <v>0</v>
      </c>
      <c r="BU119" s="2">
        <f t="shared" si="7"/>
        <v>0</v>
      </c>
      <c r="BV119" s="2">
        <f t="shared" si="8"/>
        <v>8</v>
      </c>
      <c r="BW119" s="2">
        <f t="shared" si="9"/>
        <v>0</v>
      </c>
    </row>
    <row r="120" spans="1:75">
      <c r="A120" s="29" t="s">
        <v>196</v>
      </c>
      <c r="BR120" s="2">
        <f t="shared" si="5"/>
        <v>0</v>
      </c>
      <c r="BT120" s="2">
        <f t="shared" si="6"/>
        <v>0</v>
      </c>
      <c r="BU120" s="2">
        <f t="shared" si="7"/>
        <v>0</v>
      </c>
      <c r="BV120" s="2">
        <f t="shared" si="8"/>
        <v>8</v>
      </c>
      <c r="BW120" s="2">
        <f t="shared" si="9"/>
        <v>0</v>
      </c>
    </row>
    <row r="121" spans="1:75">
      <c r="A121" s="29" t="s">
        <v>197</v>
      </c>
      <c r="BR121" s="2">
        <f t="shared" si="5"/>
        <v>0</v>
      </c>
      <c r="BT121" s="2">
        <f t="shared" si="6"/>
        <v>0</v>
      </c>
      <c r="BU121" s="2">
        <f t="shared" si="7"/>
        <v>0</v>
      </c>
      <c r="BV121" s="2">
        <f t="shared" si="8"/>
        <v>8</v>
      </c>
      <c r="BW121" s="2">
        <f t="shared" si="9"/>
        <v>0</v>
      </c>
    </row>
    <row r="122" spans="1:75">
      <c r="A122" s="29" t="s">
        <v>198</v>
      </c>
      <c r="BR122" s="2">
        <f t="shared" si="5"/>
        <v>0</v>
      </c>
      <c r="BT122" s="2">
        <f t="shared" si="6"/>
        <v>0</v>
      </c>
      <c r="BU122" s="2">
        <f t="shared" si="7"/>
        <v>0</v>
      </c>
      <c r="BV122" s="2">
        <f t="shared" si="8"/>
        <v>8</v>
      </c>
      <c r="BW122" s="2">
        <f t="shared" si="9"/>
        <v>0</v>
      </c>
    </row>
    <row r="123" spans="1:75">
      <c r="A123" s="29" t="s">
        <v>199</v>
      </c>
      <c r="BR123" s="2">
        <f t="shared" si="5"/>
        <v>0</v>
      </c>
      <c r="BT123" s="2">
        <f t="shared" si="6"/>
        <v>0</v>
      </c>
      <c r="BU123" s="2">
        <f t="shared" si="7"/>
        <v>0</v>
      </c>
      <c r="BV123" s="2">
        <f t="shared" si="8"/>
        <v>8</v>
      </c>
      <c r="BW123" s="2">
        <f t="shared" si="9"/>
        <v>0</v>
      </c>
    </row>
    <row r="124" spans="1:75">
      <c r="A124" s="30" t="s">
        <v>200</v>
      </c>
      <c r="BR124" s="2">
        <f t="shared" si="5"/>
        <v>0</v>
      </c>
      <c r="BT124" s="2">
        <f t="shared" si="6"/>
        <v>0</v>
      </c>
      <c r="BU124" s="2">
        <f t="shared" si="7"/>
        <v>0</v>
      </c>
      <c r="BV124" s="2">
        <f t="shared" si="8"/>
        <v>8</v>
      </c>
      <c r="BW124" s="2">
        <f t="shared" si="9"/>
        <v>0</v>
      </c>
    </row>
    <row r="125" spans="1:75">
      <c r="A125" s="30" t="s">
        <v>201</v>
      </c>
      <c r="BR125" s="2">
        <f t="shared" si="5"/>
        <v>0</v>
      </c>
      <c r="BT125" s="2">
        <f t="shared" si="6"/>
        <v>0</v>
      </c>
      <c r="BU125" s="2">
        <f t="shared" si="7"/>
        <v>0</v>
      </c>
      <c r="BV125" s="2">
        <f t="shared" si="8"/>
        <v>8</v>
      </c>
      <c r="BW125" s="2">
        <f t="shared" si="9"/>
        <v>0</v>
      </c>
    </row>
    <row r="126" spans="1:75">
      <c r="A126" s="30" t="s">
        <v>202</v>
      </c>
      <c r="BR126" s="2">
        <f t="shared" si="5"/>
        <v>0</v>
      </c>
      <c r="BT126" s="2">
        <f t="shared" si="6"/>
        <v>0</v>
      </c>
      <c r="BU126" s="2">
        <f t="shared" si="7"/>
        <v>0</v>
      </c>
      <c r="BV126" s="2">
        <f t="shared" si="8"/>
        <v>8</v>
      </c>
      <c r="BW126" s="2">
        <f t="shared" si="9"/>
        <v>0</v>
      </c>
    </row>
    <row r="127" spans="1:75">
      <c r="A127" s="30" t="s">
        <v>203</v>
      </c>
      <c r="BR127" s="2">
        <f t="shared" si="5"/>
        <v>0</v>
      </c>
      <c r="BT127" s="2">
        <f t="shared" si="6"/>
        <v>0</v>
      </c>
      <c r="BU127" s="2">
        <f t="shared" si="7"/>
        <v>0</v>
      </c>
      <c r="BV127" s="2">
        <f t="shared" si="8"/>
        <v>8</v>
      </c>
      <c r="BW127" s="2">
        <f t="shared" si="9"/>
        <v>0</v>
      </c>
    </row>
    <row r="128" spans="1:75">
      <c r="A128" s="29" t="s">
        <v>204</v>
      </c>
      <c r="BR128" s="2">
        <f t="shared" si="5"/>
        <v>0</v>
      </c>
      <c r="BT128" s="2">
        <f t="shared" si="6"/>
        <v>0</v>
      </c>
      <c r="BU128" s="2">
        <f t="shared" si="7"/>
        <v>0</v>
      </c>
      <c r="BV128" s="2">
        <f t="shared" si="8"/>
        <v>8</v>
      </c>
      <c r="BW128" s="2">
        <f t="shared" si="9"/>
        <v>0</v>
      </c>
    </row>
    <row r="129" spans="1:75">
      <c r="A129" s="29" t="s">
        <v>205</v>
      </c>
      <c r="BR129" s="2">
        <f t="shared" si="5"/>
        <v>0</v>
      </c>
      <c r="BT129" s="2">
        <f t="shared" si="6"/>
        <v>0</v>
      </c>
      <c r="BU129" s="2">
        <f t="shared" si="7"/>
        <v>0</v>
      </c>
      <c r="BV129" s="2">
        <f t="shared" si="8"/>
        <v>8</v>
      </c>
      <c r="BW129" s="2">
        <f t="shared" si="9"/>
        <v>0</v>
      </c>
    </row>
    <row r="130" spans="1:75">
      <c r="A130" s="29" t="s">
        <v>206</v>
      </c>
      <c r="BR130" s="2">
        <f t="shared" si="5"/>
        <v>0</v>
      </c>
      <c r="BT130" s="2">
        <f t="shared" si="6"/>
        <v>0</v>
      </c>
      <c r="BU130" s="2">
        <f t="shared" si="7"/>
        <v>0</v>
      </c>
      <c r="BV130" s="2">
        <f t="shared" si="8"/>
        <v>8</v>
      </c>
      <c r="BW130" s="2">
        <f t="shared" si="9"/>
        <v>0</v>
      </c>
    </row>
    <row r="131" spans="1:75">
      <c r="A131" s="29" t="s">
        <v>207</v>
      </c>
      <c r="BR131" s="2">
        <f t="shared" si="5"/>
        <v>0</v>
      </c>
      <c r="BT131" s="2">
        <f t="shared" si="6"/>
        <v>0</v>
      </c>
      <c r="BU131" s="2">
        <f t="shared" si="7"/>
        <v>0</v>
      </c>
      <c r="BV131" s="2">
        <f t="shared" si="8"/>
        <v>8</v>
      </c>
      <c r="BW131" s="2">
        <f t="shared" si="9"/>
        <v>0</v>
      </c>
    </row>
    <row r="132" spans="1:75">
      <c r="A132" s="31" t="s">
        <v>208</v>
      </c>
      <c r="BR132" s="2">
        <f t="shared" ref="BR132:BR195" si="10">$I132*($AZ132/100)+$L132*($BA132/100)</f>
        <v>0</v>
      </c>
      <c r="BT132" s="2">
        <f t="shared" ref="BT132:BT195" si="11">$I132*($BG132/100)+$M132*($BF132/100)</f>
        <v>0</v>
      </c>
      <c r="BU132" s="2">
        <f t="shared" ref="BU132:BU195" si="12">$L132*($BD132/100)+$J132*($BE132/100)</f>
        <v>0</v>
      </c>
      <c r="BV132" s="2">
        <f t="shared" ref="BV132:BV195" si="13">K132*(BI132/100)+J132*(BH132/100)+8</f>
        <v>8</v>
      </c>
      <c r="BW132" s="2">
        <f t="shared" ref="BW132:BW195" si="14">$K132*($BB132/100)+$M132*($BC132/100)</f>
        <v>0</v>
      </c>
    </row>
    <row r="133" spans="1:75">
      <c r="A133" s="31" t="s">
        <v>209</v>
      </c>
      <c r="BR133" s="2">
        <f t="shared" si="10"/>
        <v>0</v>
      </c>
      <c r="BT133" s="2">
        <f t="shared" si="11"/>
        <v>0</v>
      </c>
      <c r="BU133" s="2">
        <f t="shared" si="12"/>
        <v>0</v>
      </c>
      <c r="BV133" s="2">
        <f t="shared" si="13"/>
        <v>8</v>
      </c>
      <c r="BW133" s="2">
        <f t="shared" si="14"/>
        <v>0</v>
      </c>
    </row>
    <row r="134" spans="1:75">
      <c r="A134" s="31" t="s">
        <v>210</v>
      </c>
      <c r="BR134" s="2">
        <f t="shared" si="10"/>
        <v>0</v>
      </c>
      <c r="BT134" s="2">
        <f t="shared" si="11"/>
        <v>0</v>
      </c>
      <c r="BU134" s="2">
        <f t="shared" si="12"/>
        <v>0</v>
      </c>
      <c r="BV134" s="2">
        <f t="shared" si="13"/>
        <v>8</v>
      </c>
      <c r="BW134" s="2">
        <f t="shared" si="14"/>
        <v>0</v>
      </c>
    </row>
    <row r="135" spans="1:75">
      <c r="A135" s="31" t="s">
        <v>211</v>
      </c>
      <c r="BR135" s="2">
        <f t="shared" si="10"/>
        <v>0</v>
      </c>
      <c r="BT135" s="2">
        <f t="shared" si="11"/>
        <v>0</v>
      </c>
      <c r="BU135" s="2">
        <f t="shared" si="12"/>
        <v>0</v>
      </c>
      <c r="BV135" s="2">
        <f t="shared" si="13"/>
        <v>8</v>
      </c>
      <c r="BW135" s="2">
        <f t="shared" si="14"/>
        <v>0</v>
      </c>
    </row>
    <row r="136" spans="1:75">
      <c r="A136" s="31" t="s">
        <v>212</v>
      </c>
      <c r="BR136" s="2">
        <f t="shared" si="10"/>
        <v>0</v>
      </c>
      <c r="BT136" s="2">
        <f t="shared" si="11"/>
        <v>0</v>
      </c>
      <c r="BU136" s="2">
        <f t="shared" si="12"/>
        <v>0</v>
      </c>
      <c r="BV136" s="2">
        <f t="shared" si="13"/>
        <v>8</v>
      </c>
      <c r="BW136" s="2">
        <f t="shared" si="14"/>
        <v>0</v>
      </c>
    </row>
    <row r="137" spans="1:75">
      <c r="A137" s="31" t="s">
        <v>213</v>
      </c>
      <c r="BR137" s="2">
        <f t="shared" si="10"/>
        <v>0</v>
      </c>
      <c r="BT137" s="2">
        <f t="shared" si="11"/>
        <v>0</v>
      </c>
      <c r="BU137" s="2">
        <f t="shared" si="12"/>
        <v>0</v>
      </c>
      <c r="BV137" s="2">
        <f t="shared" si="13"/>
        <v>8</v>
      </c>
      <c r="BW137" s="2">
        <f t="shared" si="14"/>
        <v>0</v>
      </c>
    </row>
    <row r="138" spans="1:75">
      <c r="A138" s="31" t="s">
        <v>214</v>
      </c>
      <c r="BR138" s="2">
        <f t="shared" si="10"/>
        <v>0</v>
      </c>
      <c r="BT138" s="2">
        <f t="shared" si="11"/>
        <v>0</v>
      </c>
      <c r="BU138" s="2">
        <f t="shared" si="12"/>
        <v>0</v>
      </c>
      <c r="BV138" s="2">
        <f t="shared" si="13"/>
        <v>8</v>
      </c>
      <c r="BW138" s="2">
        <f t="shared" si="14"/>
        <v>0</v>
      </c>
    </row>
    <row r="139" spans="1:75">
      <c r="A139" s="31" t="s">
        <v>215</v>
      </c>
      <c r="BR139" s="2">
        <f t="shared" si="10"/>
        <v>0</v>
      </c>
      <c r="BT139" s="2">
        <f t="shared" si="11"/>
        <v>0</v>
      </c>
      <c r="BU139" s="2">
        <f t="shared" si="12"/>
        <v>0</v>
      </c>
      <c r="BV139" s="2">
        <f t="shared" si="13"/>
        <v>8</v>
      </c>
      <c r="BW139" s="2">
        <f t="shared" si="14"/>
        <v>0</v>
      </c>
    </row>
    <row r="140" spans="1:75">
      <c r="A140" s="31" t="s">
        <v>216</v>
      </c>
      <c r="BR140" s="2">
        <f t="shared" si="10"/>
        <v>0</v>
      </c>
      <c r="BT140" s="2">
        <f t="shared" si="11"/>
        <v>0</v>
      </c>
      <c r="BU140" s="2">
        <f t="shared" si="12"/>
        <v>0</v>
      </c>
      <c r="BV140" s="2">
        <f t="shared" si="13"/>
        <v>8</v>
      </c>
      <c r="BW140" s="2">
        <f t="shared" si="14"/>
        <v>0</v>
      </c>
    </row>
    <row r="141" spans="1:75">
      <c r="A141" s="31" t="s">
        <v>217</v>
      </c>
      <c r="BR141" s="2">
        <f t="shared" si="10"/>
        <v>0</v>
      </c>
      <c r="BT141" s="2">
        <f t="shared" si="11"/>
        <v>0</v>
      </c>
      <c r="BU141" s="2">
        <f t="shared" si="12"/>
        <v>0</v>
      </c>
      <c r="BV141" s="2">
        <f t="shared" si="13"/>
        <v>8</v>
      </c>
      <c r="BW141" s="2">
        <f t="shared" si="14"/>
        <v>0</v>
      </c>
    </row>
    <row r="142" spans="1:75">
      <c r="A142" s="32" t="s">
        <v>218</v>
      </c>
      <c r="BR142" s="2">
        <f t="shared" si="10"/>
        <v>0</v>
      </c>
      <c r="BT142" s="2">
        <f t="shared" si="11"/>
        <v>0</v>
      </c>
      <c r="BU142" s="2">
        <f t="shared" si="12"/>
        <v>0</v>
      </c>
      <c r="BV142" s="2">
        <f t="shared" si="13"/>
        <v>8</v>
      </c>
      <c r="BW142" s="2">
        <f t="shared" si="14"/>
        <v>0</v>
      </c>
    </row>
    <row r="143" spans="1:75">
      <c r="A143" s="32" t="s">
        <v>219</v>
      </c>
      <c r="BR143" s="2">
        <f t="shared" si="10"/>
        <v>0</v>
      </c>
      <c r="BT143" s="2">
        <f t="shared" si="11"/>
        <v>0</v>
      </c>
      <c r="BU143" s="2">
        <f t="shared" si="12"/>
        <v>0</v>
      </c>
      <c r="BV143" s="2">
        <f t="shared" si="13"/>
        <v>8</v>
      </c>
      <c r="BW143" s="2">
        <f t="shared" si="14"/>
        <v>0</v>
      </c>
    </row>
    <row r="144" spans="1:75">
      <c r="A144" s="32" t="s">
        <v>220</v>
      </c>
      <c r="BR144" s="2">
        <f t="shared" si="10"/>
        <v>0</v>
      </c>
      <c r="BT144" s="2">
        <f t="shared" si="11"/>
        <v>0</v>
      </c>
      <c r="BU144" s="2">
        <f t="shared" si="12"/>
        <v>0</v>
      </c>
      <c r="BV144" s="2">
        <f t="shared" si="13"/>
        <v>8</v>
      </c>
      <c r="BW144" s="2">
        <f t="shared" si="14"/>
        <v>0</v>
      </c>
    </row>
    <row r="145" spans="1:75">
      <c r="A145" s="31" t="s">
        <v>221</v>
      </c>
      <c r="BR145" s="2">
        <f t="shared" si="10"/>
        <v>0</v>
      </c>
      <c r="BT145" s="2">
        <f t="shared" si="11"/>
        <v>0</v>
      </c>
      <c r="BU145" s="2">
        <f t="shared" si="12"/>
        <v>0</v>
      </c>
      <c r="BV145" s="2">
        <f t="shared" si="13"/>
        <v>8</v>
      </c>
      <c r="BW145" s="2">
        <f t="shared" si="14"/>
        <v>0</v>
      </c>
    </row>
    <row r="146" spans="1:75">
      <c r="A146" s="31" t="s">
        <v>222</v>
      </c>
      <c r="BR146" s="2">
        <f t="shared" si="10"/>
        <v>0</v>
      </c>
      <c r="BT146" s="2">
        <f t="shared" si="11"/>
        <v>0</v>
      </c>
      <c r="BU146" s="2">
        <f t="shared" si="12"/>
        <v>0</v>
      </c>
      <c r="BV146" s="2">
        <f t="shared" si="13"/>
        <v>8</v>
      </c>
      <c r="BW146" s="2">
        <f t="shared" si="14"/>
        <v>0</v>
      </c>
    </row>
    <row r="147" spans="1:75">
      <c r="A147" s="31" t="s">
        <v>223</v>
      </c>
      <c r="BR147" s="2">
        <f t="shared" si="10"/>
        <v>0</v>
      </c>
      <c r="BT147" s="2">
        <f t="shared" si="11"/>
        <v>0</v>
      </c>
      <c r="BU147" s="2">
        <f t="shared" si="12"/>
        <v>0</v>
      </c>
      <c r="BV147" s="2">
        <f t="shared" si="13"/>
        <v>8</v>
      </c>
      <c r="BW147" s="2">
        <f t="shared" si="14"/>
        <v>0</v>
      </c>
    </row>
    <row r="148" spans="1:75">
      <c r="A148" s="31" t="s">
        <v>224</v>
      </c>
      <c r="BR148" s="2">
        <f t="shared" si="10"/>
        <v>0</v>
      </c>
      <c r="BT148" s="2">
        <f t="shared" si="11"/>
        <v>0</v>
      </c>
      <c r="BU148" s="2">
        <f t="shared" si="12"/>
        <v>0</v>
      </c>
      <c r="BV148" s="2">
        <f t="shared" si="13"/>
        <v>8</v>
      </c>
      <c r="BW148" s="2">
        <f t="shared" si="14"/>
        <v>0</v>
      </c>
    </row>
    <row r="149" spans="1:75">
      <c r="A149" s="31" t="s">
        <v>225</v>
      </c>
      <c r="BR149" s="2">
        <f t="shared" si="10"/>
        <v>0</v>
      </c>
      <c r="BT149" s="2">
        <f t="shared" si="11"/>
        <v>0</v>
      </c>
      <c r="BU149" s="2">
        <f t="shared" si="12"/>
        <v>0</v>
      </c>
      <c r="BV149" s="2">
        <f t="shared" si="13"/>
        <v>8</v>
      </c>
      <c r="BW149" s="2">
        <f t="shared" si="14"/>
        <v>0</v>
      </c>
    </row>
    <row r="150" spans="1:75">
      <c r="A150" s="31" t="s">
        <v>226</v>
      </c>
      <c r="BR150" s="2">
        <f t="shared" si="10"/>
        <v>0</v>
      </c>
      <c r="BT150" s="2">
        <f t="shared" si="11"/>
        <v>0</v>
      </c>
      <c r="BU150" s="2">
        <f t="shared" si="12"/>
        <v>0</v>
      </c>
      <c r="BV150" s="2">
        <f t="shared" si="13"/>
        <v>8</v>
      </c>
      <c r="BW150" s="2">
        <f t="shared" si="14"/>
        <v>0</v>
      </c>
    </row>
    <row r="151" spans="1:75">
      <c r="A151" s="32" t="s">
        <v>227</v>
      </c>
      <c r="BR151" s="2">
        <f t="shared" si="10"/>
        <v>0</v>
      </c>
      <c r="BT151" s="2">
        <f t="shared" si="11"/>
        <v>0</v>
      </c>
      <c r="BU151" s="2">
        <f t="shared" si="12"/>
        <v>0</v>
      </c>
      <c r="BV151" s="2">
        <f t="shared" si="13"/>
        <v>8</v>
      </c>
      <c r="BW151" s="2">
        <f t="shared" si="14"/>
        <v>0</v>
      </c>
    </row>
    <row r="152" spans="1:75">
      <c r="A152" s="32" t="s">
        <v>228</v>
      </c>
      <c r="BR152" s="2">
        <f t="shared" si="10"/>
        <v>0</v>
      </c>
      <c r="BT152" s="2">
        <f t="shared" si="11"/>
        <v>0</v>
      </c>
      <c r="BU152" s="2">
        <f t="shared" si="12"/>
        <v>0</v>
      </c>
      <c r="BV152" s="2">
        <f t="shared" si="13"/>
        <v>8</v>
      </c>
      <c r="BW152" s="2">
        <f t="shared" si="14"/>
        <v>0</v>
      </c>
    </row>
    <row r="153" spans="1:75">
      <c r="A153" s="32" t="s">
        <v>229</v>
      </c>
      <c r="BR153" s="2">
        <f t="shared" si="10"/>
        <v>0</v>
      </c>
      <c r="BT153" s="2">
        <f t="shared" si="11"/>
        <v>0</v>
      </c>
      <c r="BU153" s="2">
        <f t="shared" si="12"/>
        <v>0</v>
      </c>
      <c r="BV153" s="2">
        <f t="shared" si="13"/>
        <v>8</v>
      </c>
      <c r="BW153" s="2">
        <f t="shared" si="14"/>
        <v>0</v>
      </c>
    </row>
    <row r="154" spans="1:75">
      <c r="A154" s="32" t="s">
        <v>230</v>
      </c>
      <c r="BR154" s="2">
        <f t="shared" si="10"/>
        <v>0</v>
      </c>
      <c r="BT154" s="2">
        <f t="shared" si="11"/>
        <v>0</v>
      </c>
      <c r="BU154" s="2">
        <f t="shared" si="12"/>
        <v>0</v>
      </c>
      <c r="BV154" s="2">
        <f t="shared" si="13"/>
        <v>8</v>
      </c>
      <c r="BW154" s="2">
        <f t="shared" si="14"/>
        <v>0</v>
      </c>
    </row>
    <row r="155" spans="1:75">
      <c r="A155" s="32" t="s">
        <v>231</v>
      </c>
      <c r="BR155" s="2">
        <f t="shared" si="10"/>
        <v>0</v>
      </c>
      <c r="BT155" s="2">
        <f t="shared" si="11"/>
        <v>0</v>
      </c>
      <c r="BU155" s="2">
        <f t="shared" si="12"/>
        <v>0</v>
      </c>
      <c r="BV155" s="2">
        <f t="shared" si="13"/>
        <v>8</v>
      </c>
      <c r="BW155" s="2">
        <f t="shared" si="14"/>
        <v>0</v>
      </c>
    </row>
    <row r="156" spans="1:75">
      <c r="A156" s="32" t="s">
        <v>232</v>
      </c>
      <c r="BR156" s="2">
        <f t="shared" si="10"/>
        <v>0</v>
      </c>
      <c r="BT156" s="2">
        <f t="shared" si="11"/>
        <v>0</v>
      </c>
      <c r="BU156" s="2">
        <f t="shared" si="12"/>
        <v>0</v>
      </c>
      <c r="BV156" s="2">
        <f t="shared" si="13"/>
        <v>8</v>
      </c>
      <c r="BW156" s="2">
        <f t="shared" si="14"/>
        <v>0</v>
      </c>
    </row>
    <row r="157" spans="1:75">
      <c r="A157" s="32" t="s">
        <v>233</v>
      </c>
      <c r="BR157" s="2">
        <f t="shared" si="10"/>
        <v>0</v>
      </c>
      <c r="BT157" s="2">
        <f t="shared" si="11"/>
        <v>0</v>
      </c>
      <c r="BU157" s="2">
        <f t="shared" si="12"/>
        <v>0</v>
      </c>
      <c r="BV157" s="2">
        <f t="shared" si="13"/>
        <v>8</v>
      </c>
      <c r="BW157" s="2">
        <f t="shared" si="14"/>
        <v>0</v>
      </c>
    </row>
    <row r="158" spans="1:75">
      <c r="A158" s="31" t="s">
        <v>234</v>
      </c>
      <c r="BR158" s="2">
        <f t="shared" si="10"/>
        <v>0</v>
      </c>
      <c r="BT158" s="2">
        <f t="shared" si="11"/>
        <v>0</v>
      </c>
      <c r="BU158" s="2">
        <f t="shared" si="12"/>
        <v>0</v>
      </c>
      <c r="BV158" s="2">
        <f t="shared" si="13"/>
        <v>8</v>
      </c>
      <c r="BW158" s="2">
        <f t="shared" si="14"/>
        <v>0</v>
      </c>
    </row>
    <row r="159" spans="1:75">
      <c r="A159" s="31" t="s">
        <v>235</v>
      </c>
      <c r="BR159" s="2">
        <f t="shared" si="10"/>
        <v>0</v>
      </c>
      <c r="BT159" s="2">
        <f t="shared" si="11"/>
        <v>0</v>
      </c>
      <c r="BU159" s="2">
        <f t="shared" si="12"/>
        <v>0</v>
      </c>
      <c r="BV159" s="2">
        <f t="shared" si="13"/>
        <v>8</v>
      </c>
      <c r="BW159" s="2">
        <f t="shared" si="14"/>
        <v>0</v>
      </c>
    </row>
    <row r="160" spans="1:75">
      <c r="A160" s="31" t="s">
        <v>236</v>
      </c>
      <c r="BR160" s="2">
        <f t="shared" si="10"/>
        <v>0</v>
      </c>
      <c r="BT160" s="2">
        <f t="shared" si="11"/>
        <v>0</v>
      </c>
      <c r="BU160" s="2">
        <f t="shared" si="12"/>
        <v>0</v>
      </c>
      <c r="BV160" s="2">
        <f t="shared" si="13"/>
        <v>8</v>
      </c>
      <c r="BW160" s="2">
        <f t="shared" si="14"/>
        <v>0</v>
      </c>
    </row>
    <row r="161" spans="1:75">
      <c r="A161" s="31" t="s">
        <v>237</v>
      </c>
      <c r="BR161" s="2">
        <f t="shared" si="10"/>
        <v>0</v>
      </c>
      <c r="BT161" s="2">
        <f t="shared" si="11"/>
        <v>0</v>
      </c>
      <c r="BU161" s="2">
        <f t="shared" si="12"/>
        <v>0</v>
      </c>
      <c r="BV161" s="2">
        <f t="shared" si="13"/>
        <v>8</v>
      </c>
      <c r="BW161" s="2">
        <f t="shared" si="14"/>
        <v>0</v>
      </c>
    </row>
    <row r="162" spans="1:75">
      <c r="A162" s="32" t="s">
        <v>238</v>
      </c>
      <c r="BR162" s="2">
        <f t="shared" si="10"/>
        <v>0</v>
      </c>
      <c r="BT162" s="2">
        <f t="shared" si="11"/>
        <v>0</v>
      </c>
      <c r="BU162" s="2">
        <f t="shared" si="12"/>
        <v>0</v>
      </c>
      <c r="BV162" s="2">
        <f t="shared" si="13"/>
        <v>8</v>
      </c>
      <c r="BW162" s="2">
        <f t="shared" si="14"/>
        <v>0</v>
      </c>
    </row>
    <row r="163" spans="1:75">
      <c r="A163" s="32" t="s">
        <v>239</v>
      </c>
      <c r="BR163" s="2">
        <f t="shared" si="10"/>
        <v>0</v>
      </c>
      <c r="BT163" s="2">
        <f t="shared" si="11"/>
        <v>0</v>
      </c>
      <c r="BU163" s="2">
        <f t="shared" si="12"/>
        <v>0</v>
      </c>
      <c r="BV163" s="2">
        <f t="shared" si="13"/>
        <v>8</v>
      </c>
      <c r="BW163" s="2">
        <f t="shared" si="14"/>
        <v>0</v>
      </c>
    </row>
    <row r="164" spans="1:75">
      <c r="A164" s="32" t="s">
        <v>240</v>
      </c>
      <c r="BR164" s="2">
        <f t="shared" si="10"/>
        <v>0</v>
      </c>
      <c r="BT164" s="2">
        <f t="shared" si="11"/>
        <v>0</v>
      </c>
      <c r="BU164" s="2">
        <f t="shared" si="12"/>
        <v>0</v>
      </c>
      <c r="BV164" s="2">
        <f t="shared" si="13"/>
        <v>8</v>
      </c>
      <c r="BW164" s="2">
        <f t="shared" si="14"/>
        <v>0</v>
      </c>
    </row>
    <row r="165" spans="1:75">
      <c r="A165" s="32" t="s">
        <v>241</v>
      </c>
      <c r="BR165" s="2">
        <f t="shared" si="10"/>
        <v>0</v>
      </c>
      <c r="BT165" s="2">
        <f t="shared" si="11"/>
        <v>0</v>
      </c>
      <c r="BU165" s="2">
        <f t="shared" si="12"/>
        <v>0</v>
      </c>
      <c r="BV165" s="2">
        <f t="shared" si="13"/>
        <v>8</v>
      </c>
      <c r="BW165" s="2">
        <f t="shared" si="14"/>
        <v>0</v>
      </c>
    </row>
    <row r="166" spans="1:75">
      <c r="A166" s="32" t="s">
        <v>242</v>
      </c>
      <c r="BR166" s="2">
        <f t="shared" si="10"/>
        <v>0</v>
      </c>
      <c r="BT166" s="2">
        <f t="shared" si="11"/>
        <v>0</v>
      </c>
      <c r="BU166" s="2">
        <f t="shared" si="12"/>
        <v>0</v>
      </c>
      <c r="BV166" s="2">
        <f t="shared" si="13"/>
        <v>8</v>
      </c>
      <c r="BW166" s="2">
        <f t="shared" si="14"/>
        <v>0</v>
      </c>
    </row>
    <row r="167" spans="1:75">
      <c r="A167" s="31" t="s">
        <v>243</v>
      </c>
      <c r="BR167" s="2">
        <f t="shared" si="10"/>
        <v>0</v>
      </c>
      <c r="BT167" s="2">
        <f t="shared" si="11"/>
        <v>0</v>
      </c>
      <c r="BU167" s="2">
        <f t="shared" si="12"/>
        <v>0</v>
      </c>
      <c r="BV167" s="2">
        <f t="shared" si="13"/>
        <v>8</v>
      </c>
      <c r="BW167" s="2">
        <f t="shared" si="14"/>
        <v>0</v>
      </c>
    </row>
    <row r="168" spans="1:75">
      <c r="A168" s="31" t="s">
        <v>244</v>
      </c>
      <c r="BR168" s="2">
        <f t="shared" si="10"/>
        <v>0</v>
      </c>
      <c r="BT168" s="2">
        <f t="shared" si="11"/>
        <v>0</v>
      </c>
      <c r="BU168" s="2">
        <f t="shared" si="12"/>
        <v>0</v>
      </c>
      <c r="BV168" s="2">
        <f t="shared" si="13"/>
        <v>8</v>
      </c>
      <c r="BW168" s="2">
        <f t="shared" si="14"/>
        <v>0</v>
      </c>
    </row>
    <row r="169" spans="1:75">
      <c r="A169" s="33" t="s">
        <v>245</v>
      </c>
      <c r="BR169" s="2">
        <f t="shared" si="10"/>
        <v>0</v>
      </c>
      <c r="BT169" s="2">
        <f t="shared" si="11"/>
        <v>0</v>
      </c>
      <c r="BU169" s="2">
        <f t="shared" si="12"/>
        <v>0</v>
      </c>
      <c r="BV169" s="2">
        <f t="shared" si="13"/>
        <v>8</v>
      </c>
      <c r="BW169" s="2">
        <f t="shared" si="14"/>
        <v>0</v>
      </c>
    </row>
    <row r="170" spans="1:75">
      <c r="A170" s="33" t="s">
        <v>246</v>
      </c>
      <c r="BR170" s="2">
        <f t="shared" si="10"/>
        <v>0</v>
      </c>
      <c r="BT170" s="2">
        <f t="shared" si="11"/>
        <v>0</v>
      </c>
      <c r="BU170" s="2">
        <f t="shared" si="12"/>
        <v>0</v>
      </c>
      <c r="BV170" s="2">
        <f t="shared" si="13"/>
        <v>8</v>
      </c>
      <c r="BW170" s="2">
        <f t="shared" si="14"/>
        <v>0</v>
      </c>
    </row>
    <row r="171" spans="1:75">
      <c r="A171" s="33" t="s">
        <v>247</v>
      </c>
      <c r="BR171" s="2">
        <f t="shared" si="10"/>
        <v>0</v>
      </c>
      <c r="BT171" s="2">
        <f t="shared" si="11"/>
        <v>0</v>
      </c>
      <c r="BU171" s="2">
        <f t="shared" si="12"/>
        <v>0</v>
      </c>
      <c r="BV171" s="2">
        <f t="shared" si="13"/>
        <v>8</v>
      </c>
      <c r="BW171" s="2">
        <f t="shared" si="14"/>
        <v>0</v>
      </c>
    </row>
    <row r="172" spans="1:75">
      <c r="A172" s="33" t="s">
        <v>248</v>
      </c>
      <c r="BR172" s="2">
        <f t="shared" si="10"/>
        <v>0</v>
      </c>
      <c r="BT172" s="2">
        <f t="shared" si="11"/>
        <v>0</v>
      </c>
      <c r="BU172" s="2">
        <f t="shared" si="12"/>
        <v>0</v>
      </c>
      <c r="BV172" s="2">
        <f t="shared" si="13"/>
        <v>8</v>
      </c>
      <c r="BW172" s="2">
        <f t="shared" si="14"/>
        <v>0</v>
      </c>
    </row>
    <row r="173" spans="1:75">
      <c r="A173" s="33" t="s">
        <v>249</v>
      </c>
      <c r="BR173" s="2">
        <f t="shared" si="10"/>
        <v>0</v>
      </c>
      <c r="BT173" s="2">
        <f t="shared" si="11"/>
        <v>0</v>
      </c>
      <c r="BU173" s="2">
        <f t="shared" si="12"/>
        <v>0</v>
      </c>
      <c r="BV173" s="2">
        <f t="shared" si="13"/>
        <v>8</v>
      </c>
      <c r="BW173" s="2">
        <f t="shared" si="14"/>
        <v>0</v>
      </c>
    </row>
    <row r="174" spans="1:75">
      <c r="A174" s="33" t="s">
        <v>250</v>
      </c>
      <c r="BR174" s="2">
        <f t="shared" si="10"/>
        <v>0</v>
      </c>
      <c r="BT174" s="2">
        <f t="shared" si="11"/>
        <v>0</v>
      </c>
      <c r="BU174" s="2">
        <f t="shared" si="12"/>
        <v>0</v>
      </c>
      <c r="BV174" s="2">
        <f t="shared" si="13"/>
        <v>8</v>
      </c>
      <c r="BW174" s="2">
        <f t="shared" si="14"/>
        <v>0</v>
      </c>
    </row>
    <row r="175" spans="1:75">
      <c r="A175" s="33" t="s">
        <v>251</v>
      </c>
      <c r="BR175" s="2">
        <f t="shared" si="10"/>
        <v>0</v>
      </c>
      <c r="BT175" s="2">
        <f t="shared" si="11"/>
        <v>0</v>
      </c>
      <c r="BU175" s="2">
        <f t="shared" si="12"/>
        <v>0</v>
      </c>
      <c r="BV175" s="2">
        <f t="shared" si="13"/>
        <v>8</v>
      </c>
      <c r="BW175" s="2">
        <f t="shared" si="14"/>
        <v>0</v>
      </c>
    </row>
    <row r="176" spans="1:75">
      <c r="A176" s="34" t="s">
        <v>252</v>
      </c>
      <c r="BR176" s="2">
        <f t="shared" si="10"/>
        <v>0</v>
      </c>
      <c r="BT176" s="2">
        <f t="shared" si="11"/>
        <v>0</v>
      </c>
      <c r="BU176" s="2">
        <f t="shared" si="12"/>
        <v>0</v>
      </c>
      <c r="BV176" s="2">
        <f t="shared" si="13"/>
        <v>8</v>
      </c>
      <c r="BW176" s="2">
        <f t="shared" si="14"/>
        <v>0</v>
      </c>
    </row>
    <row r="177" spans="1:75">
      <c r="A177" s="34" t="s">
        <v>253</v>
      </c>
      <c r="BR177" s="2">
        <f t="shared" si="10"/>
        <v>0</v>
      </c>
      <c r="BT177" s="2">
        <f t="shared" si="11"/>
        <v>0</v>
      </c>
      <c r="BU177" s="2">
        <f t="shared" si="12"/>
        <v>0</v>
      </c>
      <c r="BV177" s="2">
        <f t="shared" si="13"/>
        <v>8</v>
      </c>
      <c r="BW177" s="2">
        <f t="shared" si="14"/>
        <v>0</v>
      </c>
    </row>
    <row r="178" spans="1:75">
      <c r="A178" s="34" t="s">
        <v>254</v>
      </c>
      <c r="BR178" s="2">
        <f t="shared" si="10"/>
        <v>0</v>
      </c>
      <c r="BT178" s="2">
        <f t="shared" si="11"/>
        <v>0</v>
      </c>
      <c r="BU178" s="2">
        <f t="shared" si="12"/>
        <v>0</v>
      </c>
      <c r="BV178" s="2">
        <f t="shared" si="13"/>
        <v>8</v>
      </c>
      <c r="BW178" s="2">
        <f t="shared" si="14"/>
        <v>0</v>
      </c>
    </row>
    <row r="179" spans="1:75">
      <c r="A179" s="33" t="s">
        <v>255</v>
      </c>
      <c r="BR179" s="2">
        <f t="shared" si="10"/>
        <v>0</v>
      </c>
      <c r="BT179" s="2">
        <f t="shared" si="11"/>
        <v>0</v>
      </c>
      <c r="BU179" s="2">
        <f t="shared" si="12"/>
        <v>0</v>
      </c>
      <c r="BV179" s="2">
        <f t="shared" si="13"/>
        <v>8</v>
      </c>
      <c r="BW179" s="2">
        <f t="shared" si="14"/>
        <v>0</v>
      </c>
    </row>
    <row r="180" spans="1:75">
      <c r="A180" s="33" t="s">
        <v>256</v>
      </c>
      <c r="BR180" s="2">
        <f t="shared" si="10"/>
        <v>0</v>
      </c>
      <c r="BT180" s="2">
        <f t="shared" si="11"/>
        <v>0</v>
      </c>
      <c r="BU180" s="2">
        <f t="shared" si="12"/>
        <v>0</v>
      </c>
      <c r="BV180" s="2">
        <f t="shared" si="13"/>
        <v>8</v>
      </c>
      <c r="BW180" s="2">
        <f t="shared" si="14"/>
        <v>0</v>
      </c>
    </row>
    <row r="181" spans="1:75">
      <c r="A181" s="33" t="s">
        <v>257</v>
      </c>
      <c r="BR181" s="2">
        <f t="shared" si="10"/>
        <v>0</v>
      </c>
      <c r="BT181" s="2">
        <f t="shared" si="11"/>
        <v>0</v>
      </c>
      <c r="BU181" s="2">
        <f t="shared" si="12"/>
        <v>0</v>
      </c>
      <c r="BV181" s="2">
        <f t="shared" si="13"/>
        <v>8</v>
      </c>
      <c r="BW181" s="2">
        <f t="shared" si="14"/>
        <v>0</v>
      </c>
    </row>
    <row r="182" spans="1:75">
      <c r="A182" s="35" t="s">
        <v>258</v>
      </c>
      <c r="BR182" s="2">
        <f t="shared" si="10"/>
        <v>0</v>
      </c>
      <c r="BT182" s="2">
        <f t="shared" si="11"/>
        <v>0</v>
      </c>
      <c r="BU182" s="2">
        <f t="shared" si="12"/>
        <v>0</v>
      </c>
      <c r="BV182" s="2">
        <f t="shared" si="13"/>
        <v>8</v>
      </c>
      <c r="BW182" s="2">
        <f t="shared" si="14"/>
        <v>0</v>
      </c>
    </row>
    <row r="183" spans="1:75">
      <c r="A183" s="33" t="s">
        <v>259</v>
      </c>
      <c r="BR183" s="2">
        <f t="shared" si="10"/>
        <v>0</v>
      </c>
      <c r="BT183" s="2">
        <f t="shared" si="11"/>
        <v>0</v>
      </c>
      <c r="BU183" s="2">
        <f t="shared" si="12"/>
        <v>0</v>
      </c>
      <c r="BV183" s="2">
        <f t="shared" si="13"/>
        <v>8</v>
      </c>
      <c r="BW183" s="2">
        <f t="shared" si="14"/>
        <v>0</v>
      </c>
    </row>
    <row r="184" spans="1:75">
      <c r="A184" s="33" t="s">
        <v>260</v>
      </c>
      <c r="BR184" s="2">
        <f t="shared" si="10"/>
        <v>0</v>
      </c>
      <c r="BT184" s="2">
        <f t="shared" si="11"/>
        <v>0</v>
      </c>
      <c r="BU184" s="2">
        <f t="shared" si="12"/>
        <v>0</v>
      </c>
      <c r="BV184" s="2">
        <f t="shared" si="13"/>
        <v>8</v>
      </c>
      <c r="BW184" s="2">
        <f t="shared" si="14"/>
        <v>0</v>
      </c>
    </row>
    <row r="185" spans="1:75">
      <c r="A185" s="33" t="s">
        <v>261</v>
      </c>
      <c r="BR185" s="2">
        <f t="shared" si="10"/>
        <v>0</v>
      </c>
      <c r="BT185" s="2">
        <f t="shared" si="11"/>
        <v>0</v>
      </c>
      <c r="BU185" s="2">
        <f t="shared" si="12"/>
        <v>0</v>
      </c>
      <c r="BV185" s="2">
        <f t="shared" si="13"/>
        <v>8</v>
      </c>
      <c r="BW185" s="2">
        <f t="shared" si="14"/>
        <v>0</v>
      </c>
    </row>
    <row r="186" spans="1:75">
      <c r="A186" s="33" t="s">
        <v>262</v>
      </c>
      <c r="BR186" s="2">
        <f t="shared" si="10"/>
        <v>0</v>
      </c>
      <c r="BT186" s="2">
        <f t="shared" si="11"/>
        <v>0</v>
      </c>
      <c r="BU186" s="2">
        <f t="shared" si="12"/>
        <v>0</v>
      </c>
      <c r="BV186" s="2">
        <f t="shared" si="13"/>
        <v>8</v>
      </c>
      <c r="BW186" s="2">
        <f t="shared" si="14"/>
        <v>0</v>
      </c>
    </row>
    <row r="187" spans="1:75">
      <c r="A187" s="33" t="s">
        <v>263</v>
      </c>
      <c r="BR187" s="2">
        <f t="shared" si="10"/>
        <v>0</v>
      </c>
      <c r="BT187" s="2">
        <f t="shared" si="11"/>
        <v>0</v>
      </c>
      <c r="BU187" s="2">
        <f t="shared" si="12"/>
        <v>0</v>
      </c>
      <c r="BV187" s="2">
        <f t="shared" si="13"/>
        <v>8</v>
      </c>
      <c r="BW187" s="2">
        <f t="shared" si="14"/>
        <v>0</v>
      </c>
    </row>
    <row r="188" spans="1:75">
      <c r="A188" s="33" t="s">
        <v>264</v>
      </c>
      <c r="BR188" s="2">
        <f t="shared" si="10"/>
        <v>0</v>
      </c>
      <c r="BT188" s="2">
        <f t="shared" si="11"/>
        <v>0</v>
      </c>
      <c r="BU188" s="2">
        <f t="shared" si="12"/>
        <v>0</v>
      </c>
      <c r="BV188" s="2">
        <f t="shared" si="13"/>
        <v>8</v>
      </c>
      <c r="BW188" s="2">
        <f t="shared" si="14"/>
        <v>0</v>
      </c>
    </row>
    <row r="189" spans="1:75">
      <c r="A189" s="34" t="s">
        <v>265</v>
      </c>
      <c r="BR189" s="2">
        <f t="shared" si="10"/>
        <v>0</v>
      </c>
      <c r="BT189" s="2">
        <f t="shared" si="11"/>
        <v>0</v>
      </c>
      <c r="BU189" s="2">
        <f t="shared" si="12"/>
        <v>0</v>
      </c>
      <c r="BV189" s="2">
        <f t="shared" si="13"/>
        <v>8</v>
      </c>
      <c r="BW189" s="2">
        <f t="shared" si="14"/>
        <v>0</v>
      </c>
    </row>
    <row r="190" spans="1:75">
      <c r="A190" s="34" t="s">
        <v>266</v>
      </c>
      <c r="BR190" s="2">
        <f t="shared" si="10"/>
        <v>0</v>
      </c>
      <c r="BT190" s="2">
        <f t="shared" si="11"/>
        <v>0</v>
      </c>
      <c r="BU190" s="2">
        <f t="shared" si="12"/>
        <v>0</v>
      </c>
      <c r="BV190" s="2">
        <f t="shared" si="13"/>
        <v>8</v>
      </c>
      <c r="BW190" s="2">
        <f t="shared" si="14"/>
        <v>0</v>
      </c>
    </row>
    <row r="191" spans="1:75">
      <c r="A191" s="34" t="s">
        <v>267</v>
      </c>
      <c r="BR191" s="2">
        <f t="shared" si="10"/>
        <v>0</v>
      </c>
      <c r="BT191" s="2">
        <f t="shared" si="11"/>
        <v>0</v>
      </c>
      <c r="BU191" s="2">
        <f t="shared" si="12"/>
        <v>0</v>
      </c>
      <c r="BV191" s="2">
        <f t="shared" si="13"/>
        <v>8</v>
      </c>
      <c r="BW191" s="2">
        <f t="shared" si="14"/>
        <v>0</v>
      </c>
    </row>
    <row r="192" spans="1:75">
      <c r="A192" s="34" t="s">
        <v>268</v>
      </c>
      <c r="BR192" s="2">
        <f t="shared" si="10"/>
        <v>0</v>
      </c>
      <c r="BT192" s="2">
        <f t="shared" si="11"/>
        <v>0</v>
      </c>
      <c r="BU192" s="2">
        <f t="shared" si="12"/>
        <v>0</v>
      </c>
      <c r="BV192" s="2">
        <f t="shared" si="13"/>
        <v>8</v>
      </c>
      <c r="BW192" s="2">
        <f t="shared" si="14"/>
        <v>0</v>
      </c>
    </row>
    <row r="193" spans="1:75">
      <c r="A193" s="34" t="s">
        <v>269</v>
      </c>
      <c r="BR193" s="2">
        <f t="shared" si="10"/>
        <v>0</v>
      </c>
      <c r="BT193" s="2">
        <f t="shared" si="11"/>
        <v>0</v>
      </c>
      <c r="BU193" s="2">
        <f t="shared" si="12"/>
        <v>0</v>
      </c>
      <c r="BV193" s="2">
        <f t="shared" si="13"/>
        <v>8</v>
      </c>
      <c r="BW193" s="2">
        <f t="shared" si="14"/>
        <v>0</v>
      </c>
    </row>
    <row r="194" spans="1:75">
      <c r="A194" s="34" t="s">
        <v>270</v>
      </c>
      <c r="BR194" s="2">
        <f t="shared" si="10"/>
        <v>0</v>
      </c>
      <c r="BT194" s="2">
        <f t="shared" si="11"/>
        <v>0</v>
      </c>
      <c r="BU194" s="2">
        <f t="shared" si="12"/>
        <v>0</v>
      </c>
      <c r="BV194" s="2">
        <f t="shared" si="13"/>
        <v>8</v>
      </c>
      <c r="BW194" s="2">
        <f t="shared" si="14"/>
        <v>0</v>
      </c>
    </row>
    <row r="195" spans="1:75">
      <c r="A195" s="33" t="s">
        <v>271</v>
      </c>
      <c r="BR195" s="2">
        <f t="shared" si="10"/>
        <v>0</v>
      </c>
      <c r="BT195" s="2">
        <f t="shared" si="11"/>
        <v>0</v>
      </c>
      <c r="BU195" s="2">
        <f t="shared" si="12"/>
        <v>0</v>
      </c>
      <c r="BV195" s="2">
        <f t="shared" si="13"/>
        <v>8</v>
      </c>
      <c r="BW195" s="2">
        <f t="shared" si="14"/>
        <v>0</v>
      </c>
    </row>
    <row r="196" spans="1:75">
      <c r="A196" s="33" t="s">
        <v>272</v>
      </c>
      <c r="BR196" s="2">
        <f t="shared" ref="BR196:BR220" si="15">$I196*($AZ196/100)+$L196*($BA196/100)</f>
        <v>0</v>
      </c>
      <c r="BT196" s="2">
        <f t="shared" ref="BT196:BT220" si="16">$I196*($BG196/100)+$M196*($BF196/100)</f>
        <v>0</v>
      </c>
      <c r="BU196" s="2">
        <f t="shared" ref="BU196:BU220" si="17">$L196*($BD196/100)+$J196*($BE196/100)</f>
        <v>0</v>
      </c>
      <c r="BV196" s="2">
        <f t="shared" ref="BV196:BV220" si="18">K196*(BI196/100)+J196*(BH196/100)+8</f>
        <v>8</v>
      </c>
      <c r="BW196" s="2">
        <f t="shared" ref="BW196:BW220" si="19">$K196*($BB196/100)+$M196*($BC196/100)</f>
        <v>0</v>
      </c>
    </row>
    <row r="197" spans="1:75">
      <c r="A197" s="33" t="s">
        <v>273</v>
      </c>
      <c r="BR197" s="2">
        <f t="shared" si="15"/>
        <v>0</v>
      </c>
      <c r="BT197" s="2">
        <f t="shared" si="16"/>
        <v>0</v>
      </c>
      <c r="BU197" s="2">
        <f t="shared" si="17"/>
        <v>0</v>
      </c>
      <c r="BV197" s="2">
        <f t="shared" si="18"/>
        <v>8</v>
      </c>
      <c r="BW197" s="2">
        <f t="shared" si="19"/>
        <v>0</v>
      </c>
    </row>
    <row r="198" spans="1:75">
      <c r="A198" s="33" t="s">
        <v>274</v>
      </c>
      <c r="BR198" s="2">
        <f t="shared" si="15"/>
        <v>0</v>
      </c>
      <c r="BT198" s="2">
        <f t="shared" si="16"/>
        <v>0</v>
      </c>
      <c r="BU198" s="2">
        <f t="shared" si="17"/>
        <v>0</v>
      </c>
      <c r="BV198" s="2">
        <f t="shared" si="18"/>
        <v>8</v>
      </c>
      <c r="BW198" s="2">
        <f t="shared" si="19"/>
        <v>0</v>
      </c>
    </row>
    <row r="199" spans="1:75">
      <c r="A199" s="34" t="s">
        <v>275</v>
      </c>
      <c r="BR199" s="2">
        <f t="shared" si="15"/>
        <v>0</v>
      </c>
      <c r="BT199" s="2">
        <f t="shared" si="16"/>
        <v>0</v>
      </c>
      <c r="BU199" s="2">
        <f t="shared" si="17"/>
        <v>0</v>
      </c>
      <c r="BV199" s="2">
        <f t="shared" si="18"/>
        <v>8</v>
      </c>
      <c r="BW199" s="2">
        <f t="shared" si="19"/>
        <v>0</v>
      </c>
    </row>
    <row r="200" spans="1:75">
      <c r="A200" s="34" t="s">
        <v>276</v>
      </c>
      <c r="BR200" s="2">
        <f t="shared" si="15"/>
        <v>0</v>
      </c>
      <c r="BT200" s="2">
        <f t="shared" si="16"/>
        <v>0</v>
      </c>
      <c r="BU200" s="2">
        <f t="shared" si="17"/>
        <v>0</v>
      </c>
      <c r="BV200" s="2">
        <f t="shared" si="18"/>
        <v>8</v>
      </c>
      <c r="BW200" s="2">
        <f t="shared" si="19"/>
        <v>0</v>
      </c>
    </row>
    <row r="201" spans="1:75">
      <c r="A201" s="34" t="s">
        <v>277</v>
      </c>
      <c r="BR201" s="2">
        <f t="shared" si="15"/>
        <v>0</v>
      </c>
      <c r="BT201" s="2">
        <f t="shared" si="16"/>
        <v>0</v>
      </c>
      <c r="BU201" s="2">
        <f t="shared" si="17"/>
        <v>0</v>
      </c>
      <c r="BV201" s="2">
        <f t="shared" si="18"/>
        <v>8</v>
      </c>
      <c r="BW201" s="2">
        <f t="shared" si="19"/>
        <v>0</v>
      </c>
    </row>
    <row r="202" spans="1:75">
      <c r="A202" s="34" t="s">
        <v>278</v>
      </c>
      <c r="BR202" s="2">
        <f t="shared" si="15"/>
        <v>0</v>
      </c>
      <c r="BT202" s="2">
        <f t="shared" si="16"/>
        <v>0</v>
      </c>
      <c r="BU202" s="2">
        <f t="shared" si="17"/>
        <v>0</v>
      </c>
      <c r="BV202" s="2">
        <f t="shared" si="18"/>
        <v>8</v>
      </c>
      <c r="BW202" s="2">
        <f t="shared" si="19"/>
        <v>0</v>
      </c>
    </row>
    <row r="203" spans="1:75">
      <c r="A203" s="33" t="s">
        <v>279</v>
      </c>
      <c r="BR203" s="2">
        <f t="shared" si="15"/>
        <v>0</v>
      </c>
      <c r="BT203" s="2">
        <f t="shared" si="16"/>
        <v>0</v>
      </c>
      <c r="BU203" s="2">
        <f t="shared" si="17"/>
        <v>0</v>
      </c>
      <c r="BV203" s="2">
        <f t="shared" si="18"/>
        <v>8</v>
      </c>
      <c r="BW203" s="2">
        <f t="shared" si="19"/>
        <v>0</v>
      </c>
    </row>
    <row r="204" spans="1:75">
      <c r="A204" s="33" t="s">
        <v>280</v>
      </c>
      <c r="BR204" s="2">
        <f t="shared" si="15"/>
        <v>0</v>
      </c>
      <c r="BT204" s="2">
        <f t="shared" si="16"/>
        <v>0</v>
      </c>
      <c r="BU204" s="2">
        <f t="shared" si="17"/>
        <v>0</v>
      </c>
      <c r="BV204" s="2">
        <f t="shared" si="18"/>
        <v>8</v>
      </c>
      <c r="BW204" s="2">
        <f t="shared" si="19"/>
        <v>0</v>
      </c>
    </row>
    <row r="205" spans="1:75">
      <c r="A205" s="33" t="s">
        <v>281</v>
      </c>
      <c r="BR205" s="2">
        <f t="shared" si="15"/>
        <v>0</v>
      </c>
      <c r="BT205" s="2">
        <f t="shared" si="16"/>
        <v>0</v>
      </c>
      <c r="BU205" s="2">
        <f t="shared" si="17"/>
        <v>0</v>
      </c>
      <c r="BV205" s="2">
        <f t="shared" si="18"/>
        <v>8</v>
      </c>
      <c r="BW205" s="2">
        <f t="shared" si="19"/>
        <v>0</v>
      </c>
    </row>
    <row r="206" spans="1:75">
      <c r="A206" s="33" t="s">
        <v>282</v>
      </c>
      <c r="BR206" s="2">
        <f t="shared" si="15"/>
        <v>0</v>
      </c>
      <c r="BT206" s="2">
        <f t="shared" si="16"/>
        <v>0</v>
      </c>
      <c r="BU206" s="2">
        <f t="shared" si="17"/>
        <v>0</v>
      </c>
      <c r="BV206" s="2">
        <f t="shared" si="18"/>
        <v>8</v>
      </c>
      <c r="BW206" s="2">
        <f t="shared" si="19"/>
        <v>0</v>
      </c>
    </row>
    <row r="207" spans="1:75">
      <c r="A207" s="12" t="s">
        <v>283</v>
      </c>
      <c r="BR207" s="2">
        <f t="shared" si="15"/>
        <v>0</v>
      </c>
      <c r="BT207" s="2">
        <f t="shared" si="16"/>
        <v>0</v>
      </c>
      <c r="BU207" s="2">
        <f t="shared" si="17"/>
        <v>0</v>
      </c>
      <c r="BV207" s="2">
        <f t="shared" si="18"/>
        <v>8</v>
      </c>
      <c r="BW207" s="2">
        <f t="shared" si="19"/>
        <v>0</v>
      </c>
    </row>
    <row r="208" spans="1:75">
      <c r="A208" s="12" t="s">
        <v>284</v>
      </c>
      <c r="BR208" s="2">
        <f t="shared" si="15"/>
        <v>0</v>
      </c>
      <c r="BT208" s="2">
        <f t="shared" si="16"/>
        <v>0</v>
      </c>
      <c r="BU208" s="2">
        <f t="shared" si="17"/>
        <v>0</v>
      </c>
      <c r="BV208" s="2">
        <f t="shared" si="18"/>
        <v>8</v>
      </c>
      <c r="BW208" s="2">
        <f t="shared" si="19"/>
        <v>0</v>
      </c>
    </row>
    <row r="209" spans="1:75">
      <c r="A209" s="12" t="s">
        <v>285</v>
      </c>
      <c r="BR209" s="2">
        <f t="shared" si="15"/>
        <v>0</v>
      </c>
      <c r="BT209" s="2">
        <f t="shared" si="16"/>
        <v>0</v>
      </c>
      <c r="BU209" s="2">
        <f t="shared" si="17"/>
        <v>0</v>
      </c>
      <c r="BV209" s="2">
        <f t="shared" si="18"/>
        <v>8</v>
      </c>
      <c r="BW209" s="2">
        <f t="shared" si="19"/>
        <v>0</v>
      </c>
    </row>
    <row r="210" spans="1:75">
      <c r="A210" s="12" t="s">
        <v>286</v>
      </c>
      <c r="BR210" s="2">
        <f t="shared" si="15"/>
        <v>0</v>
      </c>
      <c r="BT210" s="2">
        <f t="shared" si="16"/>
        <v>0</v>
      </c>
      <c r="BU210" s="2">
        <f t="shared" si="17"/>
        <v>0</v>
      </c>
      <c r="BV210" s="2">
        <f t="shared" si="18"/>
        <v>8</v>
      </c>
      <c r="BW210" s="2">
        <f t="shared" si="19"/>
        <v>0</v>
      </c>
    </row>
    <row r="211" spans="1:75">
      <c r="A211" s="12" t="s">
        <v>287</v>
      </c>
      <c r="BR211" s="2">
        <f t="shared" si="15"/>
        <v>0</v>
      </c>
      <c r="BT211" s="2">
        <f t="shared" si="16"/>
        <v>0</v>
      </c>
      <c r="BU211" s="2">
        <f t="shared" si="17"/>
        <v>0</v>
      </c>
      <c r="BV211" s="2">
        <f t="shared" si="18"/>
        <v>8</v>
      </c>
      <c r="BW211" s="2">
        <f t="shared" si="19"/>
        <v>0</v>
      </c>
    </row>
    <row r="212" spans="1:75">
      <c r="A212" s="17" t="s">
        <v>288</v>
      </c>
      <c r="BR212" s="2">
        <f t="shared" si="15"/>
        <v>0</v>
      </c>
      <c r="BT212" s="2">
        <f t="shared" si="16"/>
        <v>0</v>
      </c>
      <c r="BU212" s="2">
        <f t="shared" si="17"/>
        <v>0</v>
      </c>
      <c r="BV212" s="2">
        <f t="shared" si="18"/>
        <v>8</v>
      </c>
      <c r="BW212" s="2">
        <f t="shared" si="19"/>
        <v>0</v>
      </c>
    </row>
    <row r="213" spans="1:75">
      <c r="A213" s="12" t="s">
        <v>289</v>
      </c>
      <c r="BR213" s="2">
        <f t="shared" si="15"/>
        <v>0</v>
      </c>
      <c r="BT213" s="2">
        <f t="shared" si="16"/>
        <v>0</v>
      </c>
      <c r="BU213" s="2">
        <f t="shared" si="17"/>
        <v>0</v>
      </c>
      <c r="BV213" s="2">
        <f t="shared" si="18"/>
        <v>8</v>
      </c>
      <c r="BW213" s="2">
        <f t="shared" si="19"/>
        <v>0</v>
      </c>
    </row>
    <row r="214" spans="1:75">
      <c r="A214" s="12" t="s">
        <v>290</v>
      </c>
      <c r="BR214" s="2">
        <f t="shared" si="15"/>
        <v>0</v>
      </c>
      <c r="BT214" s="2">
        <f t="shared" si="16"/>
        <v>0</v>
      </c>
      <c r="BU214" s="2">
        <f t="shared" si="17"/>
        <v>0</v>
      </c>
      <c r="BV214" s="2">
        <f t="shared" si="18"/>
        <v>8</v>
      </c>
      <c r="BW214" s="2">
        <f t="shared" si="19"/>
        <v>0</v>
      </c>
    </row>
    <row r="215" spans="1:75">
      <c r="A215" s="12" t="s">
        <v>291</v>
      </c>
      <c r="BR215" s="2">
        <f t="shared" si="15"/>
        <v>0</v>
      </c>
      <c r="BT215" s="2">
        <f t="shared" si="16"/>
        <v>0</v>
      </c>
      <c r="BU215" s="2">
        <f t="shared" si="17"/>
        <v>0</v>
      </c>
      <c r="BV215" s="2">
        <f t="shared" si="18"/>
        <v>8</v>
      </c>
      <c r="BW215" s="2">
        <f t="shared" si="19"/>
        <v>0</v>
      </c>
    </row>
    <row r="216" spans="1:75">
      <c r="A216" s="12" t="s">
        <v>292</v>
      </c>
      <c r="BR216" s="2">
        <f t="shared" si="15"/>
        <v>0</v>
      </c>
      <c r="BT216" s="2">
        <f t="shared" si="16"/>
        <v>0</v>
      </c>
      <c r="BU216" s="2">
        <f t="shared" si="17"/>
        <v>0</v>
      </c>
      <c r="BV216" s="2">
        <f t="shared" si="18"/>
        <v>8</v>
      </c>
      <c r="BW216" s="2">
        <f t="shared" si="19"/>
        <v>0</v>
      </c>
    </row>
    <row r="217" spans="1:75">
      <c r="A217" s="12" t="s">
        <v>293</v>
      </c>
      <c r="BR217" s="2">
        <f t="shared" si="15"/>
        <v>0</v>
      </c>
      <c r="BT217" s="2">
        <f t="shared" si="16"/>
        <v>0</v>
      </c>
      <c r="BU217" s="2">
        <f t="shared" si="17"/>
        <v>0</v>
      </c>
      <c r="BV217" s="2">
        <f t="shared" si="18"/>
        <v>8</v>
      </c>
      <c r="BW217" s="2">
        <f t="shared" si="19"/>
        <v>0</v>
      </c>
    </row>
    <row r="218" spans="1:75">
      <c r="A218" s="12" t="s">
        <v>294</v>
      </c>
      <c r="BR218" s="2">
        <f t="shared" si="15"/>
        <v>0</v>
      </c>
      <c r="BT218" s="2">
        <f t="shared" si="16"/>
        <v>0</v>
      </c>
      <c r="BU218" s="2">
        <f t="shared" si="17"/>
        <v>0</v>
      </c>
      <c r="BV218" s="2">
        <f t="shared" si="18"/>
        <v>8</v>
      </c>
      <c r="BW218" s="2">
        <f t="shared" si="19"/>
        <v>0</v>
      </c>
    </row>
    <row r="219" spans="1:75">
      <c r="A219" s="12" t="s">
        <v>295</v>
      </c>
      <c r="BR219" s="2">
        <f t="shared" si="15"/>
        <v>0</v>
      </c>
      <c r="BT219" s="2">
        <f t="shared" si="16"/>
        <v>0</v>
      </c>
      <c r="BU219" s="2">
        <f t="shared" si="17"/>
        <v>0</v>
      </c>
      <c r="BV219" s="2">
        <f t="shared" si="18"/>
        <v>8</v>
      </c>
      <c r="BW219" s="2">
        <f t="shared" si="19"/>
        <v>0</v>
      </c>
    </row>
    <row r="220" spans="70:75">
      <c r="BR220" s="2">
        <f t="shared" si="15"/>
        <v>0</v>
      </c>
      <c r="BT220" s="2">
        <f t="shared" si="16"/>
        <v>0</v>
      </c>
      <c r="BU220" s="2">
        <f t="shared" si="17"/>
        <v>0</v>
      </c>
      <c r="BV220" s="2">
        <f t="shared" si="18"/>
        <v>8</v>
      </c>
      <c r="BW220" s="2">
        <f t="shared" si="19"/>
        <v>0</v>
      </c>
    </row>
  </sheetData>
  <autoFilter ref="A1:BP219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E24" sqref="E24"/>
    </sheetView>
  </sheetViews>
  <sheetFormatPr defaultColWidth="8.8" defaultRowHeight="15" outlineLevelCol="3"/>
  <cols>
    <col min="3" max="3" width="12.4" customWidth="1"/>
    <col min="4" max="4" width="12.6" style="1" customWidth="1"/>
  </cols>
  <sheetData>
    <row r="1" spans="1:4">
      <c r="A1" s="2" t="s">
        <v>296</v>
      </c>
      <c r="B1" s="2" t="s">
        <v>1</v>
      </c>
      <c r="C1" s="2" t="s">
        <v>297</v>
      </c>
      <c r="D1" s="3" t="s">
        <v>298</v>
      </c>
    </row>
    <row r="2" spans="1:4">
      <c r="A2" t="s">
        <v>299</v>
      </c>
      <c r="B2">
        <v>1</v>
      </c>
      <c r="C2">
        <v>1</v>
      </c>
      <c r="D2" s="1" t="e">
        <f>AVERAGEIFS(Characters!$BR$3:$BR$220,Characters!$G$3:$G$220,A2,Characters!$B$3:$B$220,B2,Characters!$AS$3:$AS$220,C2)</f>
        <v>#DIV/0!</v>
      </c>
    </row>
    <row r="3" spans="1:4">
      <c r="A3" t="s">
        <v>299</v>
      </c>
      <c r="B3">
        <v>5</v>
      </c>
      <c r="C3">
        <v>1</v>
      </c>
      <c r="D3" s="1" t="e">
        <f>AVERAGEIFS(Characters!$BR$3:$BR$220,Characters!$G$3:$G$220,A3,Characters!$B$3:$B$220,B3,Characters!$AS$3:$AS$220,C3)</f>
        <v>#DIV/0!</v>
      </c>
    </row>
    <row r="4" spans="1:4">
      <c r="A4" t="s">
        <v>299</v>
      </c>
      <c r="B4">
        <v>13</v>
      </c>
      <c r="C4">
        <v>1</v>
      </c>
      <c r="D4" s="1" t="e">
        <f>AVERAGEIFS(Characters!$BR$3:$BR$220,Characters!$G$3:$G$220,A4,Characters!$B$3:$B$220,B4,Characters!$AS$3:$AS$220,C4)</f>
        <v>#DIV/0!</v>
      </c>
    </row>
    <row r="5" spans="1:4">
      <c r="A5" t="s">
        <v>299</v>
      </c>
      <c r="B5">
        <v>22</v>
      </c>
      <c r="C5">
        <v>1</v>
      </c>
      <c r="D5" s="1" t="e">
        <f>AVERAGEIFS(Characters!$BR$3:$BR$220,Characters!$G$3:$G$220,A5,Characters!$B$3:$B$220,B5,Characters!$AS$3:$AS$220,C5)</f>
        <v>#DIV/0!</v>
      </c>
    </row>
    <row r="6" spans="1:4">
      <c r="A6" t="s">
        <v>299</v>
      </c>
      <c r="B6">
        <v>30</v>
      </c>
      <c r="C6">
        <v>1</v>
      </c>
      <c r="D6" s="1" t="e">
        <f>AVERAGEIFS(Characters!$BR$3:$BR$220,Characters!$G$3:$G$220,A6,Characters!$B$3:$B$220,B6,Characters!$AS$3:$AS$220,C6)</f>
        <v>#DIV/0!</v>
      </c>
    </row>
    <row r="7" spans="1:4">
      <c r="A7" t="s">
        <v>300</v>
      </c>
      <c r="B7">
        <v>1</v>
      </c>
      <c r="C7">
        <v>1</v>
      </c>
      <c r="D7" s="1" t="e">
        <f>AVERAGEIFS(Characters!$BR$3:$BR$220,Characters!$G$3:$G$220,A7,Characters!$B$3:$B$220,B7,Characters!$AS$3:$AS$220,C7,Characters!$AK$3:$AK$220,"")</f>
        <v>#DIV/0!</v>
      </c>
    </row>
    <row r="8" spans="1:4">
      <c r="A8" t="s">
        <v>300</v>
      </c>
      <c r="B8">
        <v>5</v>
      </c>
      <c r="C8">
        <v>1</v>
      </c>
      <c r="D8" s="1" t="e">
        <f>AVERAGEIFS(Characters!$BR$3:$BR$220,Characters!$G$3:$G$220,A8,Characters!$B$3:$B$220,B8,Characters!$AS$3:$AS$220,C8,Characters!$AK$3:$AK$220,"")</f>
        <v>#DIV/0!</v>
      </c>
    </row>
    <row r="9" spans="1:4">
      <c r="A9" t="s">
        <v>300</v>
      </c>
      <c r="B9">
        <v>13</v>
      </c>
      <c r="C9">
        <v>1</v>
      </c>
      <c r="D9" s="1" t="e">
        <f>AVERAGEIFS(Characters!$BR$3:$BR$220,Characters!$G$3:$G$220,A9,Characters!$B$3:$B$220,B9,Characters!$AS$3:$AS$220,C9,Characters!$AK$3:$AK$220,"")</f>
        <v>#DIV/0!</v>
      </c>
    </row>
    <row r="10" spans="1:4">
      <c r="A10" t="s">
        <v>300</v>
      </c>
      <c r="B10">
        <v>22</v>
      </c>
      <c r="C10">
        <v>1</v>
      </c>
      <c r="D10" s="1" t="e">
        <f>AVERAGEIFS(Characters!$BR$3:$BR$220,Characters!$G$3:$G$220,A10,Characters!$B$3:$B$220,B10,Characters!$AS$3:$AS$220,C10,Characters!$AK$3:$AK$220,"")</f>
        <v>#DIV/0!</v>
      </c>
    </row>
    <row r="11" spans="1:4">
      <c r="A11" t="s">
        <v>300</v>
      </c>
      <c r="B11">
        <v>30</v>
      </c>
      <c r="C11">
        <v>1</v>
      </c>
      <c r="D11" s="1" t="e">
        <f>AVERAGEIFS(Characters!$BR$3:$BR$220,Characters!$G$3:$G$220,A11,Characters!$B$3:$B$220,B11,Characters!$AS$3:$AS$220,C11,Characters!$AK$3:$AK$220,"")</f>
        <v>#DIV/0!</v>
      </c>
    </row>
    <row r="12" spans="1:4">
      <c r="A12" t="s">
        <v>301</v>
      </c>
      <c r="B12">
        <v>1</v>
      </c>
      <c r="C12">
        <v>1</v>
      </c>
      <c r="D12" s="1" t="e">
        <f>AVERAGEIFS(Characters!$BR$3:$BR$220,Characters!$G$3:$G$220,A12,Characters!$B$3:$B$220,B12,Characters!$AS$3:$AS$220,C12)</f>
        <v>#DIV/0!</v>
      </c>
    </row>
    <row r="13" spans="1:4">
      <c r="A13" t="s">
        <v>301</v>
      </c>
      <c r="B13">
        <v>5</v>
      </c>
      <c r="C13">
        <v>1</v>
      </c>
      <c r="D13" s="1" t="e">
        <f>AVERAGEIFS(Characters!$BR$3:$BR$220,Characters!$G$3:$G$220,A13,Characters!$B$3:$B$220,B13,Characters!$AS$3:$AS$220,C13)</f>
        <v>#DIV/0!</v>
      </c>
    </row>
    <row r="14" spans="1:4">
      <c r="A14" t="s">
        <v>301</v>
      </c>
      <c r="B14">
        <v>13</v>
      </c>
      <c r="C14">
        <v>1</v>
      </c>
      <c r="D14" s="1" t="e">
        <f>AVERAGEIFS(Characters!$BR$3:$BR$220,Characters!$G$3:$G$220,A14,Characters!$B$3:$B$220,B14,Characters!$AS$3:$AS$220,C14)</f>
        <v>#DIV/0!</v>
      </c>
    </row>
    <row r="15" spans="1:4">
      <c r="A15" t="s">
        <v>301</v>
      </c>
      <c r="B15">
        <v>22</v>
      </c>
      <c r="C15">
        <v>1</v>
      </c>
      <c r="D15" s="1" t="e">
        <f>AVERAGEIFS(Characters!$BR$3:$BR$220,Characters!$G$3:$G$220,A15,Characters!$B$3:$B$220,B15,Characters!$AS$3:$AS$220,C15)</f>
        <v>#DIV/0!</v>
      </c>
    </row>
    <row r="16" spans="1:4">
      <c r="A16" t="s">
        <v>301</v>
      </c>
      <c r="B16">
        <v>30</v>
      </c>
      <c r="C16">
        <v>1</v>
      </c>
      <c r="D16" s="1" t="e">
        <f>AVERAGEIFS(Characters!$BR$3:$BR$220,Characters!$G$3:$G$220,A16,Characters!$B$3:$B$220,B16,Characters!$AS$3:$AS$220,C16)</f>
        <v>#DIV/0!</v>
      </c>
    </row>
    <row r="17" spans="1:4">
      <c r="A17" t="s">
        <v>302</v>
      </c>
      <c r="B17">
        <v>1</v>
      </c>
      <c r="C17">
        <v>1</v>
      </c>
      <c r="D17" s="1" t="e">
        <f>AVERAGEIFS(Characters!$BR$3:$BR$220,Characters!$G$3:$G$220,A17,Characters!$B$3:$B$220,B17,Characters!$AS$3:$AS$220,C17)</f>
        <v>#DIV/0!</v>
      </c>
    </row>
    <row r="18" spans="1:4">
      <c r="A18" t="s">
        <v>302</v>
      </c>
      <c r="B18">
        <v>5</v>
      </c>
      <c r="C18">
        <v>1</v>
      </c>
      <c r="D18" s="1" t="e">
        <f>AVERAGEIFS(Characters!$BR$3:$BR$220,Characters!$G$3:$G$220,A18,Characters!$B$3:$B$220,B18,Characters!$AS$3:$AS$220,C18)</f>
        <v>#DIV/0!</v>
      </c>
    </row>
    <row r="19" spans="1:4">
      <c r="A19" t="s">
        <v>302</v>
      </c>
      <c r="B19">
        <v>13</v>
      </c>
      <c r="C19">
        <v>1</v>
      </c>
      <c r="D19" s="1" t="e">
        <f>AVERAGEIFS(Characters!$BR$3:$BR$220,Characters!$G$3:$G$220,A19,Characters!$B$3:$B$220,B19,Characters!$AS$3:$AS$220,C19)</f>
        <v>#DIV/0!</v>
      </c>
    </row>
    <row r="20" spans="1:4">
      <c r="A20" t="s">
        <v>302</v>
      </c>
      <c r="B20">
        <v>22</v>
      </c>
      <c r="C20">
        <v>1</v>
      </c>
      <c r="D20" s="1" t="e">
        <f>AVERAGEIFS(Characters!$BR$3:$BR$220,Characters!$G$3:$G$220,A20,Characters!$B$3:$B$220,B20,Characters!$AS$3:$AS$220,C20)</f>
        <v>#DIV/0!</v>
      </c>
    </row>
    <row r="21" spans="1:4">
      <c r="A21" t="s">
        <v>302</v>
      </c>
      <c r="B21">
        <v>30</v>
      </c>
      <c r="C21">
        <v>1</v>
      </c>
      <c r="D21" s="1" t="e">
        <f>AVERAGEIFS(Characters!$BR$3:$BR$220,Characters!$G$3:$G$220,A21,Characters!$B$3:$B$220,B21,Characters!$AS$3:$AS$220,C21)</f>
        <v>#DIV/0!</v>
      </c>
    </row>
    <row r="22" spans="1:4">
      <c r="A22" t="s">
        <v>301</v>
      </c>
      <c r="B22">
        <v>1</v>
      </c>
      <c r="C22">
        <v>2</v>
      </c>
      <c r="D22" s="1" t="e">
        <f>AVERAGEIFS(Characters!$BT$3:$BT$220,Characters!$H$3:$H$220,A22,Characters!$C$3:$C$220,B22,Characters!$AU$3:$AU$220,C22)</f>
        <v>#DIV/0!</v>
      </c>
    </row>
    <row r="23" spans="1:4">
      <c r="A23" t="s">
        <v>301</v>
      </c>
      <c r="B23">
        <v>5</v>
      </c>
      <c r="C23">
        <v>2</v>
      </c>
      <c r="D23" s="1" t="e">
        <f>AVERAGEIFS(Characters!$BT$3:$BT$220,Characters!$H$3:$H$220,A23,Characters!$C$3:$C$220,B23,Characters!$AU$3:$AU$220,C23)</f>
        <v>#DIV/0!</v>
      </c>
    </row>
    <row r="24" spans="1:4">
      <c r="A24" t="s">
        <v>301</v>
      </c>
      <c r="B24">
        <v>13</v>
      </c>
      <c r="C24">
        <v>2</v>
      </c>
      <c r="D24" s="1" t="e">
        <f>AVERAGEIFS(Characters!$BT$3:$BT$220,Characters!$H$3:$H$220,A24,Characters!$C$3:$C$220,B24,Characters!$AU$3:$AU$220,C24)</f>
        <v>#DIV/0!</v>
      </c>
    </row>
    <row r="25" spans="1:4">
      <c r="A25" t="s">
        <v>301</v>
      </c>
      <c r="B25">
        <v>22</v>
      </c>
      <c r="C25">
        <v>2</v>
      </c>
      <c r="D25" s="1" t="e">
        <f>AVERAGEIFS(Characters!$BT$3:$BT$220,Characters!$H$3:$H$220,A25,Characters!$C$3:$C$220,B25,Characters!$AU$3:$AU$220,C25)</f>
        <v>#DIV/0!</v>
      </c>
    </row>
    <row r="26" spans="1:4">
      <c r="A26" t="s">
        <v>301</v>
      </c>
      <c r="B26">
        <v>30</v>
      </c>
      <c r="C26">
        <v>2</v>
      </c>
      <c r="D26" s="1" t="e">
        <f>AVERAGEIFS(Characters!$BT$3:$BT$220,Characters!$H$3:$H$220,A26,Characters!$C$3:$C$220,B26,Characters!$AU$3:$AU$220,C26)</f>
        <v>#DIV/0!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BS1" rgbClr="022AE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Characters</vt:lpstr>
      <vt:lpstr>Char_baseline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darrmirr</dc:creator>
  <cp:lastModifiedBy>darrmirr</cp:lastModifiedBy>
  <dcterms:created xsi:type="dcterms:W3CDTF">2025-02-25T02:11:00Z</dcterms:created>
  <dcterms:modified xsi:type="dcterms:W3CDTF">2025-05-18T23:41:41Z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